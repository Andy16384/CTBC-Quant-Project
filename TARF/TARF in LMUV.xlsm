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z00050083\Desktop\已完成資料\"/>
    </mc:Choice>
  </mc:AlternateContent>
  <bookViews>
    <workbookView xWindow="0" yWindow="0" windowWidth="21600" windowHeight="9555"/>
  </bookViews>
  <sheets>
    <sheet name="Booking" sheetId="1" r:id="rId1"/>
    <sheet name="Rates" sheetId="2" r:id="rId2"/>
    <sheet name="Vols" sheetId="3" r:id="rId3"/>
  </sheets>
  <functionGroups builtInGroupCount="18"/>
  <externalReferences>
    <externalReference r:id="rId4"/>
  </externalReferenc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5" i="3" l="1"/>
  <c r="K13" i="1" l="1"/>
  <c r="K14" i="1"/>
  <c r="I15" i="1"/>
  <c r="C9" i="1" l="1"/>
  <c r="L12" i="1"/>
  <c r="E8" i="1" l="1"/>
  <c r="E7" i="1"/>
  <c r="E4" i="1"/>
  <c r="T127" i="1"/>
  <c r="S127" i="1"/>
  <c r="R127" i="1"/>
  <c r="U127" i="1"/>
  <c r="U10" i="1" l="1"/>
  <c r="H16" i="1" l="1"/>
  <c r="F127" i="1"/>
  <c r="E127" i="1" s="1"/>
  <c r="F96" i="1"/>
  <c r="F72" i="1"/>
  <c r="F60" i="1"/>
  <c r="F48" i="1"/>
  <c r="F36" i="1"/>
  <c r="F19" i="1"/>
  <c r="F20" i="1"/>
  <c r="F21" i="1"/>
  <c r="F22" i="1"/>
  <c r="F23" i="1"/>
  <c r="F24" i="1"/>
  <c r="F17" i="1"/>
  <c r="F18" i="1"/>
  <c r="F16" i="1"/>
  <c r="F15" i="1"/>
  <c r="F14" i="1"/>
  <c r="F13" i="1"/>
  <c r="F12" i="1"/>
  <c r="H12" i="1"/>
  <c r="F104" i="1" l="1"/>
  <c r="E104" i="1" s="1"/>
  <c r="E15" i="1"/>
  <c r="F25" i="1"/>
  <c r="E20" i="1"/>
  <c r="E16" i="1"/>
  <c r="E23" i="1"/>
  <c r="E19" i="1"/>
  <c r="E13" i="1"/>
  <c r="E18" i="1"/>
  <c r="E22" i="1"/>
  <c r="E36" i="1"/>
  <c r="F112" i="1"/>
  <c r="E14" i="1"/>
  <c r="E17" i="1"/>
  <c r="E21" i="1"/>
  <c r="E48" i="1"/>
  <c r="F76" i="1"/>
  <c r="F44" i="1"/>
  <c r="F62" i="1"/>
  <c r="F82" i="1"/>
  <c r="F74" i="1"/>
  <c r="F70" i="1"/>
  <c r="F123" i="1"/>
  <c r="F87" i="1"/>
  <c r="F120" i="1"/>
  <c r="F94" i="1"/>
  <c r="F86" i="1"/>
  <c r="F78" i="1"/>
  <c r="E96" i="1"/>
  <c r="F90" i="1"/>
  <c r="F95" i="1"/>
  <c r="F79" i="1"/>
  <c r="F29" i="1"/>
  <c r="F66" i="1"/>
  <c r="F33" i="1"/>
  <c r="F91" i="1"/>
  <c r="F83" i="1"/>
  <c r="F75" i="1"/>
  <c r="F53" i="1"/>
  <c r="E72" i="1"/>
  <c r="F41" i="1"/>
  <c r="F101" i="1"/>
  <c r="F32" i="1"/>
  <c r="F97" i="1"/>
  <c r="F119" i="1"/>
  <c r="F111" i="1"/>
  <c r="F103" i="1"/>
  <c r="F69" i="1"/>
  <c r="F49" i="1"/>
  <c r="F52" i="1"/>
  <c r="F43" i="1"/>
  <c r="E24" i="1"/>
  <c r="F50" i="1"/>
  <c r="F54" i="1"/>
  <c r="F58" i="1"/>
  <c r="F51" i="1"/>
  <c r="F55" i="1"/>
  <c r="F59" i="1"/>
  <c r="F124" i="1"/>
  <c r="F116" i="1"/>
  <c r="F108" i="1"/>
  <c r="F100" i="1"/>
  <c r="F57" i="1"/>
  <c r="F37" i="1"/>
  <c r="F40" i="1"/>
  <c r="F26" i="1"/>
  <c r="F30" i="1"/>
  <c r="F34" i="1"/>
  <c r="F27" i="1"/>
  <c r="F31" i="1"/>
  <c r="F35" i="1"/>
  <c r="F63" i="1"/>
  <c r="F67" i="1"/>
  <c r="F71" i="1"/>
  <c r="F64" i="1"/>
  <c r="F68" i="1"/>
  <c r="F61" i="1"/>
  <c r="F28" i="1"/>
  <c r="F115" i="1"/>
  <c r="F107" i="1"/>
  <c r="F99" i="1"/>
  <c r="F65" i="1"/>
  <c r="F56" i="1"/>
  <c r="F47" i="1"/>
  <c r="F39" i="1"/>
  <c r="E60" i="1"/>
  <c r="F126" i="1"/>
  <c r="F122" i="1"/>
  <c r="F118" i="1"/>
  <c r="F114" i="1"/>
  <c r="F110" i="1"/>
  <c r="F106" i="1"/>
  <c r="F102" i="1"/>
  <c r="F98" i="1"/>
  <c r="F93" i="1"/>
  <c r="F89" i="1"/>
  <c r="F85" i="1"/>
  <c r="F81" i="1"/>
  <c r="F77" i="1"/>
  <c r="F46" i="1"/>
  <c r="F42" i="1"/>
  <c r="F38" i="1"/>
  <c r="F125" i="1"/>
  <c r="F121" i="1"/>
  <c r="F117" i="1"/>
  <c r="F113" i="1"/>
  <c r="F109" i="1"/>
  <c r="F105" i="1"/>
  <c r="F73" i="1"/>
  <c r="F92" i="1"/>
  <c r="F88" i="1"/>
  <c r="F84" i="1"/>
  <c r="F80" i="1"/>
  <c r="F45" i="1"/>
  <c r="H127" i="1"/>
  <c r="G127" i="1" s="1"/>
  <c r="H120" i="1"/>
  <c r="H108" i="1"/>
  <c r="H96" i="1"/>
  <c r="H84" i="1"/>
  <c r="H72" i="1"/>
  <c r="H60" i="1"/>
  <c r="H48" i="1"/>
  <c r="H36" i="1"/>
  <c r="H30" i="1"/>
  <c r="H24" i="1"/>
  <c r="H21" i="1"/>
  <c r="H18" i="1"/>
  <c r="H17" i="1"/>
  <c r="G16" i="1"/>
  <c r="H15" i="1"/>
  <c r="H14" i="1"/>
  <c r="H13" i="1"/>
  <c r="D12" i="1"/>
  <c r="E12" i="1" s="1"/>
  <c r="E92" i="1" l="1"/>
  <c r="E93" i="1"/>
  <c r="E126" i="1"/>
  <c r="E47" i="1"/>
  <c r="E68" i="1"/>
  <c r="E34" i="1"/>
  <c r="E108" i="1"/>
  <c r="E50" i="1"/>
  <c r="E52" i="1"/>
  <c r="E101" i="1"/>
  <c r="E66" i="1"/>
  <c r="E86" i="1"/>
  <c r="E62" i="1"/>
  <c r="E37" i="1"/>
  <c r="E51" i="1"/>
  <c r="E41" i="1"/>
  <c r="E29" i="1"/>
  <c r="E70" i="1"/>
  <c r="E44" i="1"/>
  <c r="E76" i="1"/>
  <c r="E105" i="1"/>
  <c r="E102" i="1"/>
  <c r="E31" i="1"/>
  <c r="E45" i="1"/>
  <c r="E113" i="1"/>
  <c r="E77" i="1"/>
  <c r="E110" i="1"/>
  <c r="E107" i="1"/>
  <c r="E63" i="1"/>
  <c r="E40" i="1"/>
  <c r="E55" i="1"/>
  <c r="E111" i="1"/>
  <c r="E75" i="1"/>
  <c r="E90" i="1"/>
  <c r="E123" i="1"/>
  <c r="E80" i="1"/>
  <c r="E73" i="1"/>
  <c r="E117" i="1"/>
  <c r="E38" i="1"/>
  <c r="E81" i="1"/>
  <c r="E98" i="1"/>
  <c r="E114" i="1"/>
  <c r="E56" i="1"/>
  <c r="E115" i="1"/>
  <c r="E64" i="1"/>
  <c r="E35" i="1"/>
  <c r="E30" i="1"/>
  <c r="E116" i="1"/>
  <c r="E49" i="1"/>
  <c r="E119" i="1"/>
  <c r="E83" i="1"/>
  <c r="E94" i="1"/>
  <c r="E25" i="1"/>
  <c r="E84" i="1"/>
  <c r="E121" i="1"/>
  <c r="E42" i="1"/>
  <c r="E85" i="1"/>
  <c r="E118" i="1"/>
  <c r="E65" i="1"/>
  <c r="E28" i="1"/>
  <c r="E71" i="1"/>
  <c r="E26" i="1"/>
  <c r="E57" i="1"/>
  <c r="E124" i="1"/>
  <c r="E58" i="1"/>
  <c r="E69" i="1"/>
  <c r="E97" i="1"/>
  <c r="E91" i="1"/>
  <c r="E79" i="1"/>
  <c r="E120" i="1"/>
  <c r="E74" i="1"/>
  <c r="E88" i="1"/>
  <c r="E109" i="1"/>
  <c r="E125" i="1"/>
  <c r="E46" i="1"/>
  <c r="E89" i="1"/>
  <c r="E106" i="1"/>
  <c r="E122" i="1"/>
  <c r="E39" i="1"/>
  <c r="E99" i="1"/>
  <c r="E61" i="1"/>
  <c r="E67" i="1"/>
  <c r="E27" i="1"/>
  <c r="E100" i="1"/>
  <c r="E59" i="1"/>
  <c r="E54" i="1"/>
  <c r="E43" i="1"/>
  <c r="E103" i="1"/>
  <c r="E32" i="1"/>
  <c r="E53" i="1"/>
  <c r="E33" i="1"/>
  <c r="E95" i="1"/>
  <c r="E78" i="1"/>
  <c r="E87" i="1"/>
  <c r="E82" i="1"/>
  <c r="E112" i="1"/>
  <c r="G24" i="1"/>
  <c r="H25" i="1"/>
  <c r="G17" i="1"/>
  <c r="H123" i="1"/>
  <c r="G60" i="1"/>
  <c r="G13" i="1"/>
  <c r="G30" i="1"/>
  <c r="G72" i="1"/>
  <c r="G14" i="1"/>
  <c r="G18" i="1"/>
  <c r="G15" i="1"/>
  <c r="G12" i="1"/>
  <c r="H112" i="1"/>
  <c r="H23" i="1"/>
  <c r="H58" i="1"/>
  <c r="H98" i="1"/>
  <c r="H32" i="1"/>
  <c r="H83" i="1"/>
  <c r="H116" i="1"/>
  <c r="G120" i="1"/>
  <c r="H39" i="1"/>
  <c r="H88" i="1"/>
  <c r="H61" i="1"/>
  <c r="H79" i="1"/>
  <c r="H68" i="1"/>
  <c r="H75" i="1"/>
  <c r="H126" i="1"/>
  <c r="H27" i="1"/>
  <c r="H65" i="1"/>
  <c r="H113" i="1"/>
  <c r="H26" i="1"/>
  <c r="H64" i="1"/>
  <c r="H109" i="1"/>
  <c r="H122" i="1"/>
  <c r="H42" i="1"/>
  <c r="H91" i="1"/>
  <c r="H95" i="1"/>
  <c r="H105" i="1"/>
  <c r="H101" i="1"/>
  <c r="H20" i="1"/>
  <c r="H29" i="1"/>
  <c r="H31" i="1"/>
  <c r="H35" i="1"/>
  <c r="H45" i="1"/>
  <c r="H41" i="1"/>
  <c r="H49" i="1"/>
  <c r="H55" i="1"/>
  <c r="H51" i="1"/>
  <c r="H71" i="1"/>
  <c r="H67" i="1"/>
  <c r="H63" i="1"/>
  <c r="H82" i="1"/>
  <c r="H78" i="1"/>
  <c r="H74" i="1"/>
  <c r="H94" i="1"/>
  <c r="H90" i="1"/>
  <c r="H97" i="1"/>
  <c r="H104" i="1"/>
  <c r="H100" i="1"/>
  <c r="H119" i="1"/>
  <c r="H115" i="1"/>
  <c r="H111" i="1"/>
  <c r="H125" i="1"/>
  <c r="G48" i="1"/>
  <c r="G21" i="1"/>
  <c r="H19" i="1"/>
  <c r="H46" i="1"/>
  <c r="H86" i="1"/>
  <c r="G96" i="1"/>
  <c r="H22" i="1"/>
  <c r="H28" i="1"/>
  <c r="H34" i="1"/>
  <c r="H37" i="1"/>
  <c r="H44" i="1"/>
  <c r="H40" i="1"/>
  <c r="H59" i="1"/>
  <c r="H54" i="1"/>
  <c r="H50" i="1"/>
  <c r="H70" i="1"/>
  <c r="H66" i="1"/>
  <c r="H62" i="1"/>
  <c r="H81" i="1"/>
  <c r="H77" i="1"/>
  <c r="H85" i="1"/>
  <c r="H93" i="1"/>
  <c r="H89" i="1"/>
  <c r="H107" i="1"/>
  <c r="H103" i="1"/>
  <c r="H99" i="1"/>
  <c r="H118" i="1"/>
  <c r="H114" i="1"/>
  <c r="H110" i="1"/>
  <c r="H124" i="1"/>
  <c r="G108" i="1"/>
  <c r="G84" i="1"/>
  <c r="G36" i="1"/>
  <c r="H38" i="1"/>
  <c r="H56" i="1"/>
  <c r="H52" i="1"/>
  <c r="H33" i="1"/>
  <c r="H47" i="1"/>
  <c r="H43" i="1"/>
  <c r="H57" i="1"/>
  <c r="H53" i="1"/>
  <c r="H69" i="1"/>
  <c r="H73" i="1"/>
  <c r="H80" i="1"/>
  <c r="H76" i="1"/>
  <c r="H87" i="1"/>
  <c r="H92" i="1"/>
  <c r="H106" i="1"/>
  <c r="H102" i="1"/>
  <c r="H117" i="1"/>
  <c r="H121" i="1"/>
  <c r="C126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G106" i="1" l="1"/>
  <c r="G107" i="1"/>
  <c r="G28" i="1"/>
  <c r="G100" i="1"/>
  <c r="G55" i="1"/>
  <c r="G26" i="1"/>
  <c r="G116" i="1"/>
  <c r="G50" i="1"/>
  <c r="G44" i="1"/>
  <c r="G22" i="1"/>
  <c r="G19" i="1"/>
  <c r="G111" i="1"/>
  <c r="G104" i="1"/>
  <c r="G74" i="1"/>
  <c r="G67" i="1"/>
  <c r="G49" i="1"/>
  <c r="G31" i="1"/>
  <c r="G105" i="1"/>
  <c r="G122" i="1"/>
  <c r="G113" i="1"/>
  <c r="G75" i="1"/>
  <c r="G88" i="1"/>
  <c r="G83" i="1"/>
  <c r="G23" i="1"/>
  <c r="G123" i="1"/>
  <c r="G25" i="1"/>
  <c r="G80" i="1"/>
  <c r="G52" i="1"/>
  <c r="G77" i="1"/>
  <c r="G40" i="1"/>
  <c r="G125" i="1"/>
  <c r="G63" i="1"/>
  <c r="G101" i="1"/>
  <c r="G126" i="1"/>
  <c r="G58" i="1"/>
  <c r="G92" i="1"/>
  <c r="G43" i="1"/>
  <c r="G89" i="1"/>
  <c r="G117" i="1"/>
  <c r="G87" i="1"/>
  <c r="G69" i="1"/>
  <c r="G47" i="1"/>
  <c r="G38" i="1"/>
  <c r="G124" i="1"/>
  <c r="G99" i="1"/>
  <c r="G93" i="1"/>
  <c r="G62" i="1"/>
  <c r="G54" i="1"/>
  <c r="G37" i="1"/>
  <c r="G115" i="1"/>
  <c r="G97" i="1"/>
  <c r="G78" i="1"/>
  <c r="G71" i="1"/>
  <c r="G41" i="1"/>
  <c r="G29" i="1"/>
  <c r="G95" i="1"/>
  <c r="G109" i="1"/>
  <c r="G65" i="1"/>
  <c r="G68" i="1"/>
  <c r="G39" i="1"/>
  <c r="G32" i="1"/>
  <c r="G112" i="1"/>
  <c r="G57" i="1"/>
  <c r="G114" i="1"/>
  <c r="G70" i="1"/>
  <c r="G46" i="1"/>
  <c r="G94" i="1"/>
  <c r="G35" i="1"/>
  <c r="G42" i="1"/>
  <c r="G61" i="1"/>
  <c r="G121" i="1"/>
  <c r="G73" i="1"/>
  <c r="G56" i="1"/>
  <c r="G118" i="1"/>
  <c r="G81" i="1"/>
  <c r="G102" i="1"/>
  <c r="G76" i="1"/>
  <c r="G53" i="1"/>
  <c r="G33" i="1"/>
  <c r="G110" i="1"/>
  <c r="G103" i="1"/>
  <c r="G85" i="1"/>
  <c r="G66" i="1"/>
  <c r="G59" i="1"/>
  <c r="G34" i="1"/>
  <c r="G86" i="1"/>
  <c r="G119" i="1"/>
  <c r="G90" i="1"/>
  <c r="G82" i="1"/>
  <c r="G51" i="1"/>
  <c r="G45" i="1"/>
  <c r="G20" i="1"/>
  <c r="G91" i="1"/>
  <c r="G64" i="1"/>
  <c r="G27" i="1"/>
  <c r="G79" i="1"/>
  <c r="G98" i="1"/>
  <c r="O127" i="1" l="1"/>
  <c r="P127" i="1"/>
  <c r="N127" i="1"/>
  <c r="Q127" i="1"/>
  <c r="Q10" i="1" l="1"/>
  <c r="L13" i="1" l="1"/>
  <c r="I13" i="1"/>
  <c r="J13" i="1" s="1"/>
  <c r="I14" i="1" l="1"/>
  <c r="J14" i="1" s="1"/>
  <c r="I18" i="1"/>
  <c r="L14" i="1"/>
  <c r="K15" i="1" l="1"/>
  <c r="I21" i="1"/>
  <c r="I19" i="1" l="1"/>
  <c r="K18" i="1"/>
  <c r="K16" i="1" s="1"/>
  <c r="L16" i="1" s="1"/>
  <c r="J15" i="1"/>
  <c r="I16" i="1"/>
  <c r="J16" i="1" s="1"/>
  <c r="I20" i="1"/>
  <c r="J21" i="1" s="1"/>
  <c r="L15" i="1"/>
  <c r="I17" i="1"/>
  <c r="I24" i="1"/>
  <c r="J19" i="1" l="1"/>
  <c r="J20" i="1"/>
  <c r="K21" i="1"/>
  <c r="K20" i="1" s="1"/>
  <c r="J17" i="1"/>
  <c r="J18" i="1"/>
  <c r="I22" i="1"/>
  <c r="I23" i="1"/>
  <c r="K17" i="1"/>
  <c r="L17" i="1" s="1"/>
  <c r="I36" i="1"/>
  <c r="I31" i="1" s="1"/>
  <c r="J22" i="1" l="1"/>
  <c r="J23" i="1"/>
  <c r="L18" i="1"/>
  <c r="I27" i="1"/>
  <c r="J24" i="1"/>
  <c r="I29" i="1"/>
  <c r="I25" i="1"/>
  <c r="I28" i="1"/>
  <c r="I30" i="1"/>
  <c r="J31" i="1" s="1"/>
  <c r="I33" i="1"/>
  <c r="I35" i="1"/>
  <c r="I26" i="1"/>
  <c r="K19" i="1"/>
  <c r="L19" i="1" s="1"/>
  <c r="L21" i="1"/>
  <c r="I34" i="1"/>
  <c r="I32" i="1"/>
  <c r="K24" i="1"/>
  <c r="K23" i="1" s="1"/>
  <c r="I72" i="1"/>
  <c r="I45" i="1" s="1"/>
  <c r="J25" i="1" l="1"/>
  <c r="J26" i="1"/>
  <c r="J29" i="1"/>
  <c r="I53" i="1"/>
  <c r="J28" i="1"/>
  <c r="I43" i="1"/>
  <c r="I69" i="1"/>
  <c r="I40" i="1"/>
  <c r="I57" i="1"/>
  <c r="I50" i="1"/>
  <c r="J30" i="1"/>
  <c r="I44" i="1"/>
  <c r="I42" i="1"/>
  <c r="J34" i="1"/>
  <c r="J36" i="1"/>
  <c r="J35" i="1"/>
  <c r="I41" i="1"/>
  <c r="I58" i="1"/>
  <c r="I71" i="1"/>
  <c r="I37" i="1"/>
  <c r="J37" i="1" s="1"/>
  <c r="I63" i="1"/>
  <c r="I54" i="1"/>
  <c r="I47" i="1"/>
  <c r="I46" i="1"/>
  <c r="J46" i="1" s="1"/>
  <c r="J33" i="1"/>
  <c r="J32" i="1"/>
  <c r="L24" i="1"/>
  <c r="J27" i="1"/>
  <c r="K22" i="1"/>
  <c r="L22" i="1" s="1"/>
  <c r="I48" i="1"/>
  <c r="I60" i="1"/>
  <c r="I49" i="1"/>
  <c r="I65" i="1"/>
  <c r="I39" i="1"/>
  <c r="I56" i="1"/>
  <c r="I51" i="1"/>
  <c r="I52" i="1"/>
  <c r="I62" i="1"/>
  <c r="K36" i="1"/>
  <c r="K35" i="1" s="1"/>
  <c r="I66" i="1"/>
  <c r="I70" i="1"/>
  <c r="I67" i="1"/>
  <c r="I55" i="1"/>
  <c r="I64" i="1"/>
  <c r="I61" i="1"/>
  <c r="I68" i="1"/>
  <c r="I38" i="1"/>
  <c r="I59" i="1"/>
  <c r="L20" i="1"/>
  <c r="I96" i="1"/>
  <c r="I93" i="1" s="1"/>
  <c r="J68" i="1" l="1"/>
  <c r="J70" i="1"/>
  <c r="K32" i="1"/>
  <c r="K28" i="1"/>
  <c r="J64" i="1"/>
  <c r="J54" i="1"/>
  <c r="J59" i="1"/>
  <c r="K34" i="1"/>
  <c r="L35" i="1" s="1"/>
  <c r="K31" i="1"/>
  <c r="J69" i="1"/>
  <c r="J43" i="1"/>
  <c r="J44" i="1"/>
  <c r="J38" i="1"/>
  <c r="J41" i="1"/>
  <c r="J57" i="1"/>
  <c r="J40" i="1"/>
  <c r="J52" i="1"/>
  <c r="I89" i="1"/>
  <c r="I92" i="1"/>
  <c r="J93" i="1" s="1"/>
  <c r="I87" i="1"/>
  <c r="I79" i="1"/>
  <c r="I75" i="1"/>
  <c r="I78" i="1"/>
  <c r="J58" i="1"/>
  <c r="I90" i="1"/>
  <c r="I94" i="1"/>
  <c r="J94" i="1" s="1"/>
  <c r="I81" i="1"/>
  <c r="J65" i="1"/>
  <c r="J42" i="1"/>
  <c r="I95" i="1"/>
  <c r="I84" i="1"/>
  <c r="J51" i="1"/>
  <c r="J49" i="1"/>
  <c r="J47" i="1"/>
  <c r="J45" i="1"/>
  <c r="L23" i="1"/>
  <c r="I85" i="1"/>
  <c r="J55" i="1"/>
  <c r="L36" i="1"/>
  <c r="I73" i="1"/>
  <c r="J73" i="1" s="1"/>
  <c r="I76" i="1"/>
  <c r="I83" i="1"/>
  <c r="I77" i="1"/>
  <c r="I80" i="1"/>
  <c r="J56" i="1"/>
  <c r="J60" i="1"/>
  <c r="K33" i="1"/>
  <c r="K26" i="1"/>
  <c r="K29" i="1"/>
  <c r="J50" i="1"/>
  <c r="J63" i="1"/>
  <c r="J62" i="1"/>
  <c r="J61" i="1"/>
  <c r="J72" i="1"/>
  <c r="J71" i="1"/>
  <c r="J66" i="1"/>
  <c r="J67" i="1"/>
  <c r="K72" i="1"/>
  <c r="K38" i="1" s="1"/>
  <c r="I86" i="1"/>
  <c r="I91" i="1"/>
  <c r="I82" i="1"/>
  <c r="I74" i="1"/>
  <c r="I88" i="1"/>
  <c r="J39" i="1"/>
  <c r="J48" i="1"/>
  <c r="K27" i="1"/>
  <c r="K30" i="1"/>
  <c r="K25" i="1"/>
  <c r="L25" i="1" s="1"/>
  <c r="J53" i="1"/>
  <c r="I127" i="1"/>
  <c r="I124" i="1" s="1"/>
  <c r="L29" i="1" l="1"/>
  <c r="J95" i="1"/>
  <c r="J76" i="1"/>
  <c r="L33" i="1"/>
  <c r="L32" i="1"/>
  <c r="J90" i="1"/>
  <c r="L28" i="1"/>
  <c r="J75" i="1"/>
  <c r="J96" i="1"/>
  <c r="J80" i="1"/>
  <c r="L34" i="1"/>
  <c r="J91" i="1"/>
  <c r="L30" i="1"/>
  <c r="J78" i="1"/>
  <c r="K37" i="1"/>
  <c r="L37" i="1" s="1"/>
  <c r="K56" i="1"/>
  <c r="K71" i="1"/>
  <c r="L72" i="1" s="1"/>
  <c r="K40" i="1"/>
  <c r="K59" i="1"/>
  <c r="K57" i="1"/>
  <c r="K67" i="1"/>
  <c r="J85" i="1"/>
  <c r="J82" i="1"/>
  <c r="J86" i="1"/>
  <c r="J77" i="1"/>
  <c r="J79" i="1"/>
  <c r="J88" i="1"/>
  <c r="J92" i="1"/>
  <c r="I115" i="1"/>
  <c r="I121" i="1"/>
  <c r="L31" i="1"/>
  <c r="K63" i="1"/>
  <c r="K43" i="1"/>
  <c r="K61" i="1"/>
  <c r="K62" i="1"/>
  <c r="K48" i="1"/>
  <c r="K39" i="1"/>
  <c r="L39" i="1" s="1"/>
  <c r="K50" i="1"/>
  <c r="K45" i="1"/>
  <c r="I101" i="1"/>
  <c r="I109" i="1"/>
  <c r="I102" i="1"/>
  <c r="I116" i="1"/>
  <c r="I123" i="1"/>
  <c r="I103" i="1"/>
  <c r="I108" i="1"/>
  <c r="I106" i="1"/>
  <c r="I122" i="1"/>
  <c r="I98" i="1"/>
  <c r="I104" i="1"/>
  <c r="L27" i="1"/>
  <c r="J74" i="1"/>
  <c r="K66" i="1"/>
  <c r="J87" i="1"/>
  <c r="J81" i="1"/>
  <c r="J83" i="1"/>
  <c r="K44" i="1"/>
  <c r="K47" i="1"/>
  <c r="K41" i="1"/>
  <c r="K54" i="1"/>
  <c r="K65" i="1"/>
  <c r="K53" i="1"/>
  <c r="K52" i="1"/>
  <c r="K49" i="1"/>
  <c r="K64" i="1"/>
  <c r="I111" i="1"/>
  <c r="I107" i="1"/>
  <c r="I120" i="1"/>
  <c r="I114" i="1"/>
  <c r="I126" i="1"/>
  <c r="I112" i="1"/>
  <c r="I125" i="1"/>
  <c r="J125" i="1" s="1"/>
  <c r="J84" i="1"/>
  <c r="L26" i="1"/>
  <c r="I99" i="1"/>
  <c r="I105" i="1"/>
  <c r="K96" i="1"/>
  <c r="K77" i="1" s="1"/>
  <c r="J89" i="1"/>
  <c r="K58" i="1"/>
  <c r="K55" i="1"/>
  <c r="K46" i="1"/>
  <c r="K70" i="1"/>
  <c r="K69" i="1"/>
  <c r="K60" i="1"/>
  <c r="K42" i="1"/>
  <c r="K68" i="1"/>
  <c r="K51" i="1"/>
  <c r="I118" i="1"/>
  <c r="I97" i="1"/>
  <c r="J97" i="1" s="1"/>
  <c r="I113" i="1"/>
  <c r="I117" i="1"/>
  <c r="I110" i="1"/>
  <c r="I119" i="1"/>
  <c r="I100" i="1"/>
  <c r="J100" i="1" l="1"/>
  <c r="L68" i="1"/>
  <c r="J99" i="1"/>
  <c r="L57" i="1"/>
  <c r="L60" i="1"/>
  <c r="K83" i="1"/>
  <c r="L38" i="1"/>
  <c r="K92" i="1"/>
  <c r="L46" i="1"/>
  <c r="L55" i="1"/>
  <c r="L47" i="1"/>
  <c r="L41" i="1"/>
  <c r="L42" i="1"/>
  <c r="L40" i="1"/>
  <c r="L49" i="1"/>
  <c r="K75" i="1"/>
  <c r="J102" i="1"/>
  <c r="L50" i="1"/>
  <c r="L61" i="1"/>
  <c r="L53" i="1"/>
  <c r="L56" i="1"/>
  <c r="L58" i="1"/>
  <c r="J113" i="1"/>
  <c r="L70" i="1"/>
  <c r="L64" i="1"/>
  <c r="L44" i="1"/>
  <c r="K89" i="1"/>
  <c r="K79" i="1"/>
  <c r="J119" i="1"/>
  <c r="J108" i="1"/>
  <c r="J117" i="1"/>
  <c r="J105" i="1"/>
  <c r="J126" i="1"/>
  <c r="J111" i="1"/>
  <c r="J121" i="1"/>
  <c r="J107" i="1"/>
  <c r="J122" i="1"/>
  <c r="K90" i="1"/>
  <c r="L51" i="1"/>
  <c r="L69" i="1"/>
  <c r="J112" i="1"/>
  <c r="L52" i="1"/>
  <c r="K91" i="1"/>
  <c r="K82" i="1"/>
  <c r="K94" i="1"/>
  <c r="K85" i="1"/>
  <c r="L66" i="1"/>
  <c r="J98" i="1"/>
  <c r="J106" i="1"/>
  <c r="L45" i="1"/>
  <c r="L62" i="1"/>
  <c r="K95" i="1"/>
  <c r="L96" i="1" s="1"/>
  <c r="J103" i="1"/>
  <c r="J109" i="1"/>
  <c r="L43" i="1"/>
  <c r="J116" i="1"/>
  <c r="J115" i="1"/>
  <c r="J114" i="1"/>
  <c r="L65" i="1"/>
  <c r="K88" i="1"/>
  <c r="K73" i="1"/>
  <c r="L73" i="1" s="1"/>
  <c r="K86" i="1"/>
  <c r="K87" i="1"/>
  <c r="K81" i="1"/>
  <c r="J110" i="1"/>
  <c r="J118" i="1"/>
  <c r="K127" i="1"/>
  <c r="K117" i="1" s="1"/>
  <c r="L71" i="1"/>
  <c r="J120" i="1"/>
  <c r="L54" i="1"/>
  <c r="K74" i="1"/>
  <c r="K93" i="1"/>
  <c r="K80" i="1"/>
  <c r="K78" i="1"/>
  <c r="L78" i="1" s="1"/>
  <c r="K84" i="1"/>
  <c r="L84" i="1" s="1"/>
  <c r="K76" i="1"/>
  <c r="J104" i="1"/>
  <c r="L59" i="1"/>
  <c r="J124" i="1"/>
  <c r="J123" i="1"/>
  <c r="J101" i="1"/>
  <c r="L48" i="1"/>
  <c r="L63" i="1"/>
  <c r="L67" i="1"/>
  <c r="L76" i="1" l="1"/>
  <c r="L93" i="1"/>
  <c r="L75" i="1"/>
  <c r="L92" i="1"/>
  <c r="L83" i="1"/>
  <c r="L80" i="1"/>
  <c r="L88" i="1"/>
  <c r="K118" i="1"/>
  <c r="L118" i="1" s="1"/>
  <c r="K105" i="1"/>
  <c r="K102" i="1"/>
  <c r="K99" i="1"/>
  <c r="K126" i="1"/>
  <c r="K119" i="1"/>
  <c r="K124" i="1"/>
  <c r="K121" i="1"/>
  <c r="K100" i="1"/>
  <c r="K107" i="1"/>
  <c r="L85" i="1"/>
  <c r="L90" i="1"/>
  <c r="K104" i="1"/>
  <c r="K125" i="1"/>
  <c r="K101" i="1"/>
  <c r="K111" i="1"/>
  <c r="L79" i="1"/>
  <c r="L81" i="1"/>
  <c r="L86" i="1"/>
  <c r="K110" i="1"/>
  <c r="K114" i="1"/>
  <c r="K108" i="1"/>
  <c r="K98" i="1"/>
  <c r="K112" i="1"/>
  <c r="K116" i="1"/>
  <c r="L117" i="1" s="1"/>
  <c r="K103" i="1"/>
  <c r="L91" i="1"/>
  <c r="L77" i="1"/>
  <c r="L95" i="1"/>
  <c r="L94" i="1"/>
  <c r="L74" i="1"/>
  <c r="L87" i="1"/>
  <c r="K123" i="1"/>
  <c r="K122" i="1"/>
  <c r="K106" i="1"/>
  <c r="K109" i="1"/>
  <c r="K115" i="1"/>
  <c r="K120" i="1"/>
  <c r="K113" i="1"/>
  <c r="K97" i="1"/>
  <c r="L97" i="1" s="1"/>
  <c r="L82" i="1"/>
  <c r="L89" i="1"/>
  <c r="L102" i="1" l="1"/>
  <c r="L106" i="1"/>
  <c r="L120" i="1"/>
  <c r="L122" i="1"/>
  <c r="L124" i="1"/>
  <c r="L103" i="1"/>
  <c r="L119" i="1"/>
  <c r="L125" i="1"/>
  <c r="L112" i="1"/>
  <c r="L111" i="1"/>
  <c r="L105" i="1"/>
  <c r="L100" i="1"/>
  <c r="L126" i="1"/>
  <c r="L115" i="1"/>
  <c r="L108" i="1"/>
  <c r="L101" i="1"/>
  <c r="L109" i="1"/>
  <c r="L107" i="1"/>
  <c r="L98" i="1"/>
  <c r="L113" i="1"/>
  <c r="L121" i="1"/>
  <c r="L110" i="1"/>
  <c r="L123" i="1"/>
  <c r="L99" i="1"/>
  <c r="L116" i="1"/>
  <c r="L114" i="1"/>
  <c r="L104" i="1"/>
  <c r="H3" i="3" l="1"/>
  <c r="F3" i="3"/>
  <c r="E15" i="3"/>
  <c r="F4" i="3" l="1"/>
  <c r="H4" i="3"/>
  <c r="H5" i="3" l="1"/>
  <c r="F5" i="3"/>
  <c r="H6" i="3" l="1"/>
  <c r="F7" i="3" l="1"/>
  <c r="F6" i="3"/>
  <c r="H7" i="3"/>
  <c r="F8" i="3" l="1"/>
  <c r="H8" i="3"/>
  <c r="F9" i="3" l="1"/>
  <c r="H9" i="3"/>
  <c r="F10" i="3" l="1"/>
  <c r="H10" i="3"/>
  <c r="F11" i="3" l="1"/>
  <c r="H11" i="3"/>
  <c r="F12" i="3" l="1"/>
  <c r="H12" i="3"/>
  <c r="F13" i="3" l="1"/>
  <c r="H13" i="3"/>
</calcChain>
</file>

<file path=xl/sharedStrings.xml><?xml version="1.0" encoding="utf-8"?>
<sst xmlns="http://schemas.openxmlformats.org/spreadsheetml/2006/main" count="174" uniqueCount="85">
  <si>
    <t>1st period</t>
    <phoneticPr fontId="1" type="noConversion"/>
  </si>
  <si>
    <t>2nd period</t>
    <phoneticPr fontId="1" type="noConversion"/>
  </si>
  <si>
    <t>USD</t>
    <phoneticPr fontId="1" type="noConversion"/>
  </si>
  <si>
    <t>JPY/USD</t>
    <phoneticPr fontId="1" type="noConversion"/>
  </si>
  <si>
    <t>Exchange Amount</t>
    <phoneticPr fontId="1" type="noConversion"/>
  </si>
  <si>
    <t>Exchange Rate</t>
    <phoneticPr fontId="1" type="noConversion"/>
  </si>
  <si>
    <t>Condition</t>
    <phoneticPr fontId="1" type="noConversion"/>
  </si>
  <si>
    <t>&lt;=FX</t>
    <phoneticPr fontId="1" type="noConversion"/>
  </si>
  <si>
    <t xml:space="preserve">      FX&lt;</t>
    <phoneticPr fontId="1" type="noConversion"/>
  </si>
  <si>
    <t xml:space="preserve">  &lt;=FX&lt;</t>
    <phoneticPr fontId="1" type="noConversion"/>
  </si>
  <si>
    <t>Target Amount</t>
    <phoneticPr fontId="1" type="noConversion"/>
  </si>
  <si>
    <t>JPY</t>
    <phoneticPr fontId="1" type="noConversion"/>
  </si>
  <si>
    <t>fixing date</t>
    <phoneticPr fontId="1" type="noConversion"/>
  </si>
  <si>
    <t xml:space="preserve">settlement date </t>
    <phoneticPr fontId="1" type="noConversion"/>
  </si>
  <si>
    <t>term</t>
    <phoneticPr fontId="1" type="noConversion"/>
  </si>
  <si>
    <t>Today/Start date</t>
    <phoneticPr fontId="1" type="noConversion"/>
  </si>
  <si>
    <t>SOFRRATE</t>
  </si>
  <si>
    <t>O/N</t>
  </si>
  <si>
    <t>T/N</t>
  </si>
  <si>
    <t>\USD OIS SOFR</t>
  </si>
  <si>
    <t>2W</t>
  </si>
  <si>
    <t>1M</t>
  </si>
  <si>
    <t>2M</t>
  </si>
  <si>
    <t>3M</t>
  </si>
  <si>
    <t>4M</t>
  </si>
  <si>
    <t>5M</t>
  </si>
  <si>
    <t>6M</t>
  </si>
  <si>
    <t>9M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</si>
  <si>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</si>
  <si>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</si>
  <si>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</si>
  <si>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</si>
  <si>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</si>
  <si>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</si>
  <si>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</si>
  <si>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</si>
  <si>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</si>
  <si>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</si>
  <si>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</si>
  <si>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</si>
  <si>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</si>
  <si>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</si>
  <si>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</si>
  <si>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</si>
  <si>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</si>
  <si>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USD/JPY SWAP PT</t>
  </si>
  <si>
    <t>USD/JPY SW PT N</t>
  </si>
  <si>
    <t>1W</t>
  </si>
  <si>
    <t>3W</t>
  </si>
  <si>
    <t>7M</t>
  </si>
  <si>
    <t>8M</t>
  </si>
  <si>
    <t>10M</t>
  </si>
  <si>
    <t>11M</t>
  </si>
  <si>
    <t>Zero(USD)</t>
    <phoneticPr fontId="1" type="noConversion"/>
  </si>
  <si>
    <t>disc(USD)</t>
    <phoneticPr fontId="1" type="noConversion"/>
  </si>
  <si>
    <t>disc(JPY)</t>
    <phoneticPr fontId="1" type="noConversion"/>
  </si>
  <si>
    <t>Zero(JPY)</t>
    <phoneticPr fontId="1" type="noConversion"/>
  </si>
  <si>
    <t>Mo: 7</t>
  </si>
  <si>
    <t>We: 30</t>
  </si>
  <si>
    <t>Th: 59</t>
  </si>
  <si>
    <t>Mo: 91</t>
  </si>
  <si>
    <t>Fr: 179</t>
  </si>
  <si>
    <t>Mo: 273</t>
  </si>
  <si>
    <t>Tu: 365</t>
  </si>
  <si>
    <t>We: 730</t>
  </si>
  <si>
    <t>Fr: 1824</t>
  </si>
  <si>
    <t>We: 2557</t>
  </si>
  <si>
    <t>Fr: 3651</t>
  </si>
  <si>
    <t>SPOT=</t>
    <phoneticPr fontId="1" type="noConversion"/>
  </si>
  <si>
    <t>Case 1</t>
    <phoneticPr fontId="1" type="noConversion"/>
  </si>
  <si>
    <t>Case 2</t>
    <phoneticPr fontId="1" type="noConversion"/>
  </si>
  <si>
    <t>Case 3</t>
    <phoneticPr fontId="1" type="noConversion"/>
  </si>
  <si>
    <t>months</t>
    <phoneticPr fontId="1" type="noConversion"/>
  </si>
  <si>
    <t>Months</t>
    <phoneticPr fontId="1" type="noConversion"/>
  </si>
  <si>
    <t>NO</t>
  </si>
  <si>
    <t>Can the total amount over the target ?</t>
    <phoneticPr fontId="1" type="noConversion"/>
  </si>
  <si>
    <t>Analytical</t>
    <phoneticPr fontId="1" type="noConversion"/>
  </si>
  <si>
    <t>p =</t>
    <phoneticPr fontId="1" type="noConversion"/>
  </si>
  <si>
    <t>USD</t>
    <phoneticPr fontId="1" type="noConversion"/>
  </si>
  <si>
    <t>Vol1</t>
    <phoneticPr fontId="1" type="noConversion"/>
  </si>
  <si>
    <t>fwd vol1</t>
    <phoneticPr fontId="1" type="noConversion"/>
  </si>
  <si>
    <t>Vol2</t>
    <phoneticPr fontId="1" type="noConversion"/>
  </si>
  <si>
    <t>fwd vol2</t>
    <phoneticPr fontId="1" type="noConversion"/>
  </si>
  <si>
    <t>p =</t>
    <phoneticPr fontId="1" type="noConversion"/>
  </si>
  <si>
    <t>1-p =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</si>
</sst>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76" formatCode="_-* #,##0.00000000_-;\-* #,##0.00000000_-;_-* &quot;-&quot;??_-;_-@_-"/>
    <numFmt numFmtId="177" formatCode="0.00_);[Red]\(0.00\)"/>
  </numFmts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Arial"/>
      <family val="2"/>
    </font>
    <font>
      <sz val="11"/>
      <color theme="8" tint="-0.249977111117893"/>
      <name val="Arial"/>
      <family val="2"/>
    </font>
    <font>
      <sz val="11"/>
      <color theme="0" tint="-0.249977111117893"/>
      <name val="Arial"/>
      <family val="2"/>
    </font>
    <font>
      <sz val="12"/>
      <color theme="1"/>
      <name val="Arial"/>
      <family val="2"/>
    </font>
    <font>
      <sz val="12"/>
      <color theme="1"/>
      <name val="新細明體"/>
      <family val="2"/>
      <charset val="136"/>
      <scheme val="minor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20"/>
      <color rgb="FF000000"/>
      <name val="Arial"/>
      <family val="2"/>
    </font>
    <font>
      <sz val="26"/>
      <color theme="1"/>
      <name val="Arial"/>
      <family val="2"/>
    </font>
    <font>
      <sz val="12"/>
      <color rgb="FFFF0000"/>
      <name val="新細明體"/>
      <family val="2"/>
      <charset val="136"/>
      <scheme val="minor"/>
    </font>
    <font>
      <b/>
      <sz val="14"/>
      <color theme="1"/>
      <name val="Arial"/>
      <family val="2"/>
    </font>
    <font>
      <b/>
      <sz val="16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14" fontId="2" fillId="0" borderId="0" xfId="0" applyNumberFormat="1" applyFont="1" applyFill="1">
      <alignment vertical="center"/>
    </xf>
    <xf numFmtId="0" fontId="2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2" fillId="0" borderId="0" xfId="0" applyFont="1">
      <alignment vertical="center"/>
    </xf>
    <xf numFmtId="14" fontId="2" fillId="0" borderId="0" xfId="0" applyNumberFormat="1" applyFo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NumberFormat="1" applyFont="1">
      <alignment vertical="center"/>
    </xf>
    <xf numFmtId="0" fontId="2" fillId="4" borderId="0" xfId="0" applyFont="1" applyFill="1" applyBorder="1">
      <alignment vertical="center"/>
    </xf>
    <xf numFmtId="0" fontId="2" fillId="5" borderId="0" xfId="0" applyFont="1" applyFill="1" applyBorder="1" applyAlignment="1">
      <alignment horizontal="center" vertical="center"/>
    </xf>
    <xf numFmtId="0" fontId="2" fillId="5" borderId="0" xfId="0" applyFont="1" applyFill="1" applyBorder="1">
      <alignment vertical="center"/>
    </xf>
    <xf numFmtId="0" fontId="2" fillId="4" borderId="0" xfId="0" applyFont="1" applyFill="1" applyBorder="1" applyAlignment="1">
      <alignment horizontal="center" vertical="center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4" borderId="2" xfId="0" applyFont="1" applyFill="1" applyBorder="1">
      <alignment vertical="center"/>
    </xf>
    <xf numFmtId="0" fontId="2" fillId="5" borderId="6" xfId="0" applyFont="1" applyFill="1" applyBorder="1">
      <alignment vertical="center"/>
    </xf>
    <xf numFmtId="0" fontId="2" fillId="4" borderId="6" xfId="0" applyFont="1" applyFill="1" applyBorder="1">
      <alignment vertical="center"/>
    </xf>
    <xf numFmtId="0" fontId="2" fillId="5" borderId="7" xfId="0" applyFont="1" applyFill="1" applyBorder="1" applyAlignment="1">
      <alignment horizontal="right" vertical="center"/>
    </xf>
    <xf numFmtId="0" fontId="2" fillId="5" borderId="8" xfId="0" applyNumberFormat="1" applyFont="1" applyFill="1" applyBorder="1">
      <alignment vertical="center"/>
    </xf>
    <xf numFmtId="0" fontId="2" fillId="5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>
      <alignment vertical="center"/>
    </xf>
    <xf numFmtId="0" fontId="2" fillId="2" borderId="3" xfId="0" applyNumberFormat="1" applyFont="1" applyFill="1" applyBorder="1">
      <alignment vertical="center"/>
    </xf>
    <xf numFmtId="0" fontId="2" fillId="2" borderId="4" xfId="0" applyNumberFormat="1" applyFont="1" applyFill="1" applyBorder="1">
      <alignment vertical="center"/>
    </xf>
    <xf numFmtId="0" fontId="2" fillId="2" borderId="5" xfId="0" applyFont="1" applyFill="1" applyBorder="1" applyAlignment="1">
      <alignment horizontal="right" vertical="center"/>
    </xf>
    <xf numFmtId="14" fontId="2" fillId="2" borderId="0" xfId="0" applyNumberFormat="1" applyFont="1" applyFill="1" applyBorder="1" applyAlignment="1">
      <alignment horizontal="right" vertical="center"/>
    </xf>
    <xf numFmtId="14" fontId="2" fillId="2" borderId="0" xfId="0" applyNumberFormat="1" applyFont="1" applyFill="1" applyBorder="1" applyAlignment="1">
      <alignment horizontal="left" vertical="center"/>
    </xf>
    <xf numFmtId="0" fontId="4" fillId="2" borderId="0" xfId="0" applyFont="1" applyFill="1" applyBorder="1">
      <alignment vertical="center"/>
    </xf>
    <xf numFmtId="0" fontId="2" fillId="2" borderId="0" xfId="0" applyNumberFormat="1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5" xfId="0" quotePrefix="1" applyFont="1" applyFill="1" applyBorder="1">
      <alignment vertical="center"/>
    </xf>
    <xf numFmtId="14" fontId="2" fillId="2" borderId="0" xfId="0" applyNumberFormat="1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7" xfId="0" applyFont="1" applyFill="1" applyBorder="1">
      <alignment vertical="center"/>
    </xf>
    <xf numFmtId="14" fontId="2" fillId="2" borderId="1" xfId="0" applyNumberFormat="1" applyFont="1" applyFill="1" applyBorder="1">
      <alignment vertical="center"/>
    </xf>
    <xf numFmtId="14" fontId="2" fillId="2" borderId="1" xfId="0" applyNumberFormat="1" applyFont="1" applyFill="1" applyBorder="1" applyAlignment="1">
      <alignment horizontal="left" vertical="center"/>
    </xf>
    <xf numFmtId="0" fontId="2" fillId="2" borderId="1" xfId="0" applyFont="1" applyFill="1" applyBorder="1">
      <alignment vertical="center"/>
    </xf>
    <xf numFmtId="0" fontId="2" fillId="2" borderId="1" xfId="0" applyNumberFormat="1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0" fontId="2" fillId="5" borderId="1" xfId="0" applyFont="1" applyFill="1" applyBorder="1" applyAlignment="1">
      <alignment horizontal="right" vertical="center"/>
    </xf>
    <xf numFmtId="43" fontId="2" fillId="0" borderId="0" xfId="1" applyFont="1">
      <alignment vertical="center"/>
    </xf>
    <xf numFmtId="43" fontId="2" fillId="5" borderId="1" xfId="1" applyFont="1" applyFill="1" applyBorder="1">
      <alignment vertical="center"/>
    </xf>
    <xf numFmtId="0" fontId="2" fillId="5" borderId="5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43" fontId="8" fillId="3" borderId="1" xfId="1" applyFont="1" applyFill="1" applyBorder="1" applyAlignment="1">
      <alignment horizontal="center" vertical="center"/>
    </xf>
    <xf numFmtId="43" fontId="2" fillId="6" borderId="0" xfId="1" applyFont="1" applyFill="1">
      <alignment vertical="center"/>
    </xf>
    <xf numFmtId="43" fontId="2" fillId="3" borderId="0" xfId="1" applyFont="1" applyFill="1">
      <alignment vertical="center"/>
    </xf>
    <xf numFmtId="43" fontId="8" fillId="3" borderId="0" xfId="1" applyFont="1" applyFill="1">
      <alignment vertical="center"/>
    </xf>
    <xf numFmtId="43" fontId="2" fillId="5" borderId="0" xfId="1" applyFont="1" applyFill="1" applyBorder="1">
      <alignment vertical="center"/>
    </xf>
    <xf numFmtId="43" fontId="2" fillId="4" borderId="0" xfId="1" applyFont="1" applyFill="1" applyBorder="1">
      <alignment vertical="center"/>
    </xf>
    <xf numFmtId="43" fontId="2" fillId="5" borderId="1" xfId="1" applyFont="1" applyFill="1" applyBorder="1" applyAlignment="1">
      <alignment horizontal="left" vertical="center"/>
    </xf>
    <xf numFmtId="0" fontId="12" fillId="0" borderId="0" xfId="0" applyFont="1">
      <alignment vertical="center"/>
    </xf>
    <xf numFmtId="0" fontId="11" fillId="0" borderId="10" xfId="0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43" fontId="8" fillId="6" borderId="1" xfId="1" applyFont="1" applyFill="1" applyBorder="1" applyAlignment="1">
      <alignment horizontal="center" vertical="center"/>
    </xf>
    <xf numFmtId="0" fontId="2" fillId="5" borderId="1" xfId="0" applyNumberFormat="1" applyFont="1" applyFill="1" applyBorder="1">
      <alignment vertical="center"/>
    </xf>
    <xf numFmtId="0" fontId="2" fillId="4" borderId="4" xfId="0" applyFont="1" applyFill="1" applyBorder="1" applyAlignment="1">
      <alignment vertical="center"/>
    </xf>
    <xf numFmtId="43" fontId="10" fillId="0" borderId="0" xfId="1" applyFont="1" applyAlignment="1">
      <alignment vertical="center"/>
    </xf>
    <xf numFmtId="176" fontId="10" fillId="0" borderId="0" xfId="1" applyNumberFormat="1" applyFont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5" fillId="7" borderId="0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2" fillId="4" borderId="3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right" vertical="center"/>
    </xf>
    <xf numFmtId="0" fontId="2" fillId="2" borderId="0" xfId="0" applyNumberFormat="1" applyFont="1" applyFill="1" applyBorder="1" applyAlignment="1">
      <alignment horizontal="right" vertical="center"/>
    </xf>
    <xf numFmtId="43" fontId="8" fillId="3" borderId="0" xfId="1" applyFont="1" applyFill="1" applyAlignment="1">
      <alignment horizontal="center" vertical="center"/>
    </xf>
    <xf numFmtId="43" fontId="7" fillId="3" borderId="0" xfId="1" applyFont="1" applyFill="1" applyBorder="1" applyAlignment="1">
      <alignment horizontal="center" vertical="center"/>
    </xf>
    <xf numFmtId="43" fontId="7" fillId="3" borderId="1" xfId="1" applyFont="1" applyFill="1" applyBorder="1" applyAlignment="1">
      <alignment horizontal="center" vertical="center"/>
    </xf>
    <xf numFmtId="43" fontId="10" fillId="0" borderId="0" xfId="1" applyFont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43" fontId="10" fillId="0" borderId="0" xfId="1" applyFont="1" applyAlignment="1">
      <alignment horizontal="left" vertical="center"/>
    </xf>
    <xf numFmtId="177" fontId="10" fillId="0" borderId="0" xfId="1" applyNumberFormat="1" applyFont="1" applyAlignment="1">
      <alignment horizontal="right" vertical="center"/>
    </xf>
    <xf numFmtId="43" fontId="8" fillId="6" borderId="9" xfId="1" applyFont="1" applyFill="1" applyBorder="1" applyAlignment="1">
      <alignment horizontal="center" vertical="center"/>
    </xf>
    <xf numFmtId="43" fontId="8" fillId="3" borderId="9" xfId="1" applyFont="1" applyFill="1" applyBorder="1" applyAlignment="1">
      <alignment horizontal="center" vertical="center"/>
    </xf>
    <xf numFmtId="43" fontId="7" fillId="6" borderId="0" xfId="1" applyFont="1" applyFill="1" applyBorder="1" applyAlignment="1">
      <alignment horizontal="center" vertical="center"/>
    </xf>
    <xf numFmtId="43" fontId="7" fillId="6" borderId="1" xfId="1" applyFont="1" applyFill="1" applyBorder="1" applyAlignment="1">
      <alignment horizontal="center" vertical="center"/>
    </xf>
    <xf numFmtId="43" fontId="8" fillId="6" borderId="0" xfId="1" applyFont="1" applyFill="1" applyBorder="1" applyAlignment="1">
      <alignment horizontal="center" vertical="center"/>
    </xf>
    <xf numFmtId="43" fontId="8" fillId="6" borderId="1" xfId="1" applyFont="1" applyFill="1" applyBorder="1" applyAlignment="1">
      <alignment horizontal="center"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9</xdr:row>
          <xdr:rowOff>9525</xdr:rowOff>
        </xdr:from>
        <xdr:to>
          <xdr:col>19</xdr:col>
          <xdr:colOff>1257300</xdr:colOff>
          <xdr:row>10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Xvol%20Calibr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Process"/>
      <sheetName val="Outcome"/>
      <sheetName val="LMUV"/>
    </sheetNames>
    <sheetDataSet>
      <sheetData sheetId="0" refreshError="1"/>
      <sheetData sheetId="1" refreshError="1"/>
      <sheetData sheetId="2" refreshError="1"/>
      <sheetData sheetId="3">
        <row r="18">
          <cell r="G18">
            <v>0.99602643573064065</v>
          </cell>
        </row>
        <row r="19">
          <cell r="G19">
            <v>3.9735642693593106E-3</v>
          </cell>
        </row>
        <row r="31">
          <cell r="H31">
            <v>3.7037841995807703</v>
          </cell>
          <cell r="I31">
            <v>106.51801321267772</v>
          </cell>
        </row>
        <row r="32">
          <cell r="H32">
            <v>3.7806558288494627</v>
          </cell>
          <cell r="I32">
            <v>100.38834276963459</v>
          </cell>
        </row>
        <row r="33">
          <cell r="H33">
            <v>3.6490368652240122</v>
          </cell>
          <cell r="I33">
            <v>97.255421908267877</v>
          </cell>
        </row>
        <row r="34">
          <cell r="H34">
            <v>3.667067257626313</v>
          </cell>
          <cell r="I34">
            <v>95.819223128880211</v>
          </cell>
        </row>
        <row r="35">
          <cell r="H35">
            <v>3.6670713881590786</v>
          </cell>
          <cell r="I35">
            <v>97.639560522967628</v>
          </cell>
        </row>
        <row r="36">
          <cell r="H36">
            <v>3.6556172210514508</v>
          </cell>
          <cell r="I36">
            <v>101.37908274475915</v>
          </cell>
        </row>
        <row r="37">
          <cell r="H37">
            <v>3.626269483640884</v>
          </cell>
          <cell r="I37">
            <v>108.48204516070143</v>
          </cell>
        </row>
        <row r="38">
          <cell r="H38">
            <v>3.3878784238266859</v>
          </cell>
          <cell r="I38">
            <v>116.49216436810477</v>
          </cell>
        </row>
        <row r="39">
          <cell r="H39">
            <v>3.0513657806946046</v>
          </cell>
          <cell r="I39">
            <v>207.39356377088183</v>
          </cell>
        </row>
        <row r="40">
          <cell r="H40">
            <v>3.103786873814486</v>
          </cell>
          <cell r="I40">
            <v>320.04536281742037</v>
          </cell>
        </row>
        <row r="41">
          <cell r="H41">
            <v>3.1833772177043027</v>
          </cell>
          <cell r="I41">
            <v>268.42899083845026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Y148"/>
  <sheetViews>
    <sheetView tabSelected="1" zoomScale="70" zoomScaleNormal="70" workbookViewId="0">
      <selection activeCell="M21" sqref="M21"/>
    </sheetView>
  </sheetViews>
  <sheetFormatPr defaultRowHeight="16.5" x14ac:dyDescent="0.25"/>
  <cols>
    <col min="1" max="1" width="2.5" style="4" customWidth="1"/>
    <col min="2" max="2" width="14.875" style="4" bestFit="1" customWidth="1"/>
    <col min="3" max="3" width="14.375" style="4" customWidth="1"/>
    <col min="4" max="4" width="11.125" style="4" customWidth="1"/>
    <col min="5" max="5" width="12.75" style="4" bestFit="1" customWidth="1"/>
    <col min="6" max="6" width="13.625" style="4" bestFit="1" customWidth="1"/>
    <col min="7" max="7" width="12.75" style="4" customWidth="1"/>
    <col min="8" max="8" width="12.75" style="4" bestFit="1" customWidth="1"/>
    <col min="9" max="9" width="12.75" style="7" bestFit="1" customWidth="1"/>
    <col min="10" max="10" width="12.75" style="4" bestFit="1" customWidth="1"/>
    <col min="11" max="12" width="12.75" style="4" customWidth="1"/>
    <col min="13" max="13" width="1.875" style="4" customWidth="1"/>
    <col min="14" max="14" width="16.375" style="4" customWidth="1"/>
    <col min="15" max="15" width="15.125" style="4" customWidth="1"/>
    <col min="16" max="16" width="16.5" style="4" customWidth="1"/>
    <col min="17" max="17" width="17.125" customWidth="1"/>
    <col min="18" max="18" width="15.375" style="4" customWidth="1"/>
    <col min="19" max="21" width="15.125" style="4" customWidth="1"/>
    <col min="22" max="22" width="14.625" style="4" bestFit="1" customWidth="1"/>
    <col min="23" max="23" width="14.75" style="4" bestFit="1" customWidth="1"/>
    <col min="24" max="24" width="16" style="4" bestFit="1" customWidth="1"/>
    <col min="25" max="25" width="10.625" bestFit="1" customWidth="1"/>
    <col min="26" max="26" width="12.875" style="4" bestFit="1" customWidth="1"/>
    <col min="27" max="27" width="12.75" style="4" bestFit="1" customWidth="1"/>
    <col min="28" max="28" width="14.125" style="4" bestFit="1" customWidth="1"/>
    <col min="29" max="33" width="11.125" style="4" customWidth="1"/>
    <col min="34" max="46" width="13.5" style="4" bestFit="1" customWidth="1"/>
    <col min="47" max="16384" width="9" style="4"/>
  </cols>
  <sheetData>
    <row r="1" spans="1:21" ht="15" customHeight="1" x14ac:dyDescent="0.25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</row>
    <row r="2" spans="1:21" ht="18" x14ac:dyDescent="0.25">
      <c r="B2" s="14"/>
      <c r="C2" s="75" t="s">
        <v>6</v>
      </c>
      <c r="D2" s="75"/>
      <c r="E2" s="75"/>
      <c r="F2" s="75" t="s">
        <v>4</v>
      </c>
      <c r="G2" s="75"/>
      <c r="H2" s="75" t="s">
        <v>5</v>
      </c>
      <c r="I2" s="75"/>
      <c r="J2" s="68"/>
      <c r="K2" s="68"/>
      <c r="L2" s="61"/>
      <c r="N2" s="56" t="s">
        <v>75</v>
      </c>
      <c r="Q2" s="57" t="s">
        <v>74</v>
      </c>
    </row>
    <row r="3" spans="1:21" x14ac:dyDescent="0.25">
      <c r="B3" s="47" t="s">
        <v>0</v>
      </c>
      <c r="C3" s="19">
        <v>117.3</v>
      </c>
      <c r="D3" s="9" t="s">
        <v>7</v>
      </c>
      <c r="E3" s="21"/>
      <c r="F3" s="53">
        <v>100000</v>
      </c>
      <c r="G3" s="10" t="s">
        <v>2</v>
      </c>
      <c r="H3" s="10">
        <v>117.3</v>
      </c>
      <c r="I3" s="10" t="s">
        <v>3</v>
      </c>
      <c r="J3" s="10"/>
      <c r="K3" s="10"/>
      <c r="L3" s="15"/>
    </row>
    <row r="4" spans="1:21" ht="15.75" customHeight="1" x14ac:dyDescent="0.25">
      <c r="B4" s="47">
        <v>24</v>
      </c>
      <c r="C4" s="19"/>
      <c r="D4" s="9" t="s">
        <v>9</v>
      </c>
      <c r="E4" s="21">
        <f>C3</f>
        <v>117.3</v>
      </c>
      <c r="F4" s="53">
        <v>0</v>
      </c>
      <c r="G4" s="10" t="s">
        <v>2</v>
      </c>
      <c r="H4" s="10">
        <v>117.3</v>
      </c>
      <c r="I4" s="10" t="s">
        <v>3</v>
      </c>
      <c r="J4" s="10"/>
      <c r="K4" s="10"/>
      <c r="L4" s="15"/>
      <c r="M4" s="6"/>
      <c r="N4" s="58"/>
      <c r="Q4" s="45"/>
    </row>
    <row r="5" spans="1:21" ht="16.5" customHeight="1" x14ac:dyDescent="0.25">
      <c r="B5" s="47" t="s">
        <v>72</v>
      </c>
      <c r="C5" s="19"/>
      <c r="D5" s="9" t="s">
        <v>8</v>
      </c>
      <c r="E5" s="21"/>
      <c r="F5" s="53"/>
      <c r="G5" s="10"/>
      <c r="H5" s="10"/>
      <c r="I5" s="10"/>
      <c r="J5" s="10"/>
      <c r="K5" s="10"/>
      <c r="L5" s="15"/>
      <c r="M5" s="6"/>
      <c r="O5" s="74">
        <v>-180533.73727709474</v>
      </c>
      <c r="P5" s="74"/>
      <c r="Q5" s="76" t="s">
        <v>78</v>
      </c>
      <c r="R5" s="77">
        <v>33.658000000000001</v>
      </c>
      <c r="S5" s="74" t="s">
        <v>73</v>
      </c>
    </row>
    <row r="6" spans="1:21" ht="16.5" customHeight="1" x14ac:dyDescent="0.25">
      <c r="B6" s="48" t="s">
        <v>1</v>
      </c>
      <c r="C6" s="20">
        <v>109.9</v>
      </c>
      <c r="D6" s="11" t="s">
        <v>7</v>
      </c>
      <c r="E6" s="22"/>
      <c r="F6" s="54">
        <v>100000</v>
      </c>
      <c r="G6" s="8" t="s">
        <v>2</v>
      </c>
      <c r="H6" s="8">
        <v>109.9</v>
      </c>
      <c r="I6" s="8" t="s">
        <v>3</v>
      </c>
      <c r="J6" s="8"/>
      <c r="K6" s="8"/>
      <c r="L6" s="16"/>
      <c r="M6" s="6"/>
      <c r="O6" s="74"/>
      <c r="P6" s="74"/>
      <c r="Q6" s="76"/>
      <c r="R6" s="77"/>
      <c r="S6" s="74"/>
    </row>
    <row r="7" spans="1:21" ht="16.5" customHeight="1" x14ac:dyDescent="0.25">
      <c r="B7" s="48">
        <v>58</v>
      </c>
      <c r="C7" s="20">
        <v>99.9</v>
      </c>
      <c r="D7" s="11" t="s">
        <v>9</v>
      </c>
      <c r="E7" s="22">
        <f>C6</f>
        <v>109.9</v>
      </c>
      <c r="F7" s="54">
        <v>0</v>
      </c>
      <c r="G7" s="8" t="s">
        <v>2</v>
      </c>
      <c r="H7" s="8">
        <v>0</v>
      </c>
      <c r="I7" s="8" t="s">
        <v>3</v>
      </c>
      <c r="J7" s="8"/>
      <c r="K7" s="8"/>
      <c r="L7" s="16"/>
      <c r="N7" s="62"/>
      <c r="O7" s="62"/>
      <c r="P7" s="62"/>
      <c r="Q7" s="62"/>
      <c r="R7" s="63"/>
      <c r="S7" s="63"/>
      <c r="T7" s="62"/>
    </row>
    <row r="8" spans="1:21" ht="14.25" customHeight="1" x14ac:dyDescent="0.25">
      <c r="B8" s="48" t="s">
        <v>72</v>
      </c>
      <c r="C8" s="20"/>
      <c r="D8" s="11" t="s">
        <v>8</v>
      </c>
      <c r="E8" s="22">
        <f>C7</f>
        <v>99.9</v>
      </c>
      <c r="F8" s="54">
        <v>200000</v>
      </c>
      <c r="G8" s="8" t="s">
        <v>2</v>
      </c>
      <c r="H8" s="8">
        <v>117.3</v>
      </c>
      <c r="I8" s="8" t="s">
        <v>3</v>
      </c>
      <c r="J8" s="8"/>
      <c r="K8" s="8"/>
      <c r="L8" s="16"/>
      <c r="N8" s="62"/>
      <c r="O8" s="62"/>
      <c r="P8" s="62"/>
      <c r="Q8" s="62"/>
      <c r="R8" s="63"/>
      <c r="S8" s="63"/>
      <c r="T8" s="62"/>
    </row>
    <row r="9" spans="1:21" ht="16.5" customHeight="1" x14ac:dyDescent="0.25">
      <c r="B9" s="17" t="s">
        <v>10</v>
      </c>
      <c r="C9" s="46">
        <f>30000000</f>
        <v>30000000</v>
      </c>
      <c r="D9" s="13" t="s">
        <v>11</v>
      </c>
      <c r="E9" s="44" t="s">
        <v>68</v>
      </c>
      <c r="F9" s="55">
        <v>138.71</v>
      </c>
      <c r="G9" s="12"/>
      <c r="H9" s="12"/>
      <c r="I9" s="60"/>
      <c r="J9" s="60"/>
      <c r="K9" s="60"/>
      <c r="L9" s="18"/>
      <c r="Q9" s="4"/>
    </row>
    <row r="10" spans="1:21" ht="8.25" customHeight="1" x14ac:dyDescent="0.25">
      <c r="N10" s="80" t="s">
        <v>76</v>
      </c>
      <c r="O10" s="80"/>
      <c r="P10" s="80"/>
      <c r="Q10" s="82">
        <f>SUM(N127:Q127)</f>
        <v>35009414.005950525</v>
      </c>
      <c r="R10" s="72"/>
      <c r="S10" s="72"/>
      <c r="T10" s="72"/>
      <c r="U10" s="71">
        <f>SUM(R127:U127)</f>
        <v>38226369.300210893</v>
      </c>
    </row>
    <row r="11" spans="1:21" ht="16.5" customHeight="1" x14ac:dyDescent="0.25">
      <c r="B11" s="23" t="s">
        <v>14</v>
      </c>
      <c r="C11" s="24" t="s">
        <v>12</v>
      </c>
      <c r="D11" s="24" t="s">
        <v>13</v>
      </c>
      <c r="E11" s="24" t="s">
        <v>55</v>
      </c>
      <c r="F11" s="24" t="s">
        <v>56</v>
      </c>
      <c r="G11" s="24" t="s">
        <v>54</v>
      </c>
      <c r="H11" s="24" t="s">
        <v>53</v>
      </c>
      <c r="I11" s="25" t="s">
        <v>79</v>
      </c>
      <c r="J11" s="25" t="s">
        <v>80</v>
      </c>
      <c r="K11" s="25" t="s">
        <v>81</v>
      </c>
      <c r="L11" s="26" t="s">
        <v>82</v>
      </c>
      <c r="N11" s="81"/>
      <c r="O11" s="81"/>
      <c r="P11" s="81"/>
      <c r="Q11" s="83"/>
      <c r="R11" s="73"/>
      <c r="S11" s="73"/>
      <c r="T11" s="73"/>
      <c r="U11" s="71"/>
    </row>
    <row r="12" spans="1:21" ht="16.5" customHeight="1" x14ac:dyDescent="0.25">
      <c r="B12" s="27" t="s">
        <v>15</v>
      </c>
      <c r="C12" s="28">
        <v>44802</v>
      </c>
      <c r="D12" s="29">
        <f>C12+2</f>
        <v>44804</v>
      </c>
      <c r="E12" s="30">
        <f>EXP(-F12/100*(D12-$C$12)/365)</f>
        <v>1.0000117458359412</v>
      </c>
      <c r="F12" s="30">
        <f>Rates!N5</f>
        <v>-0.214360247008066</v>
      </c>
      <c r="G12" s="30">
        <f t="shared" ref="G12:G43" si="0">EXP(-H12/100*(D12-$C$12)/365)</f>
        <v>0.99987334536564143</v>
      </c>
      <c r="H12" s="30">
        <f>Rates!G5</f>
        <v>2.3115934671460101</v>
      </c>
      <c r="I12" s="70" t="s">
        <v>83</v>
      </c>
      <c r="J12" s="35">
        <v>0.98795824415923506</v>
      </c>
      <c r="K12" s="69" t="s">
        <v>84</v>
      </c>
      <c r="L12" s="32">
        <f>Vols!G15</f>
        <v>3.9735642693593106E-3</v>
      </c>
      <c r="N12" s="59" t="s">
        <v>69</v>
      </c>
      <c r="O12" s="78" t="s">
        <v>70</v>
      </c>
      <c r="P12" s="78"/>
      <c r="Q12" s="59" t="s">
        <v>71</v>
      </c>
      <c r="R12" s="49" t="s">
        <v>69</v>
      </c>
      <c r="S12" s="79" t="s">
        <v>70</v>
      </c>
      <c r="T12" s="79"/>
      <c r="U12" s="49" t="s">
        <v>71</v>
      </c>
    </row>
    <row r="13" spans="1:21" x14ac:dyDescent="0.25">
      <c r="B13" s="33">
        <v>1</v>
      </c>
      <c r="C13" s="34">
        <f t="shared" ref="C13:C76" si="1">D13-2</f>
        <v>44832</v>
      </c>
      <c r="D13" s="29">
        <v>44834</v>
      </c>
      <c r="E13" s="35">
        <f>EXP(-F13/100*(D13-$C$12)/365)</f>
        <v>1.0002446127009041</v>
      </c>
      <c r="F13" s="35">
        <f>Rates!N9</f>
        <v>-0.27897724267122198</v>
      </c>
      <c r="G13" s="35">
        <f t="shared" si="0"/>
        <v>0.99782564084605474</v>
      </c>
      <c r="H13" s="35">
        <f>Rates!G9</f>
        <v>2.4828286698576201</v>
      </c>
      <c r="I13" s="31">
        <f>Vols!E4</f>
        <v>10.43220890729833</v>
      </c>
      <c r="J13" s="35">
        <f>I13</f>
        <v>10.43220890729833</v>
      </c>
      <c r="K13" s="31">
        <f>Vols!G4</f>
        <v>109.1549890558636</v>
      </c>
      <c r="L13" s="32">
        <f>K13</f>
        <v>109.1549890558636</v>
      </c>
      <c r="N13" s="50">
        <v>2117544.9959036466</v>
      </c>
      <c r="O13" s="50">
        <v>0</v>
      </c>
      <c r="P13" s="50">
        <v>0</v>
      </c>
      <c r="Q13" s="50">
        <v>0</v>
      </c>
      <c r="R13" s="51">
        <v>2117931.400052886</v>
      </c>
      <c r="S13" s="51">
        <v>0</v>
      </c>
      <c r="T13" s="51">
        <v>0</v>
      </c>
      <c r="U13" s="51">
        <v>0</v>
      </c>
    </row>
    <row r="14" spans="1:21" x14ac:dyDescent="0.25">
      <c r="B14" s="33">
        <v>2</v>
      </c>
      <c r="C14" s="34">
        <f t="shared" si="1"/>
        <v>44863</v>
      </c>
      <c r="D14" s="29">
        <v>44865</v>
      </c>
      <c r="E14" s="35">
        <f t="shared" ref="E14:E77" si="2">EXP(-F14/100*(D14-$C$12)/365)</f>
        <v>1.0006617194100811</v>
      </c>
      <c r="F14" s="35">
        <f>Rates!N10</f>
        <v>-0.38325033042774798</v>
      </c>
      <c r="G14" s="35">
        <f t="shared" si="0"/>
        <v>0.99528366386597744</v>
      </c>
      <c r="H14" s="35">
        <f>Rates!G10</f>
        <v>2.7389444389724802</v>
      </c>
      <c r="I14" s="31">
        <f>Vols!E5</f>
        <v>10.067465086021564</v>
      </c>
      <c r="J14" s="35">
        <f>MAX((I14^2*(C14-$C$12)-I13^2*(C13-$C$12))/(C14-C13),1)^0.5</f>
        <v>9.7014391486248819</v>
      </c>
      <c r="K14" s="31">
        <f>Vols!G5</f>
        <v>105.79912391821838</v>
      </c>
      <c r="L14" s="32">
        <f>MAX((K14^2*(C14-$C$12)-K13^2*(C13-$C$12))/(C14-C13),1)^0.5</f>
        <v>102.44689936271206</v>
      </c>
      <c r="N14" s="50">
        <v>2083895.568796275</v>
      </c>
      <c r="O14" s="50">
        <v>0</v>
      </c>
      <c r="P14" s="50">
        <v>0</v>
      </c>
      <c r="Q14" s="50">
        <v>0</v>
      </c>
      <c r="R14" s="51">
        <v>2087278.6662085599</v>
      </c>
      <c r="S14" s="51">
        <v>0</v>
      </c>
      <c r="T14" s="51">
        <v>0</v>
      </c>
      <c r="U14" s="51">
        <v>0</v>
      </c>
    </row>
    <row r="15" spans="1:21" x14ac:dyDescent="0.25">
      <c r="B15" s="33">
        <v>3</v>
      </c>
      <c r="C15" s="34">
        <f t="shared" si="1"/>
        <v>44893</v>
      </c>
      <c r="D15" s="29">
        <v>44895</v>
      </c>
      <c r="E15" s="35">
        <f t="shared" si="2"/>
        <v>1.0009678715648427</v>
      </c>
      <c r="F15" s="35">
        <f>Rates!N11</f>
        <v>-0.37967986010303301</v>
      </c>
      <c r="G15" s="35">
        <f t="shared" si="0"/>
        <v>0.99249967653852378</v>
      </c>
      <c r="H15" s="35">
        <f>Rates!G11</f>
        <v>2.9547701066819201</v>
      </c>
      <c r="I15" s="31">
        <f>Vols!E6</f>
        <v>10.123862663249326</v>
      </c>
      <c r="J15" s="35">
        <f>MAX((I15^2*($C15-$C$12)-I14^2*($C14-$C$12))/($C15-$C14),1)^0.5</f>
        <v>10.237579656442755</v>
      </c>
      <c r="K15" s="31">
        <f>Vols!G6</f>
        <v>104.35302010988437</v>
      </c>
      <c r="L15" s="32">
        <f t="shared" ref="L15:L78" si="3">MAX((K15^2*(C15-$C$12)-K14^2*(C14-$C$12))/(C15-C14),1)^0.5</f>
        <v>101.34899661027623</v>
      </c>
      <c r="N15" s="50">
        <v>2046889.8771907561</v>
      </c>
      <c r="O15" s="50">
        <v>0</v>
      </c>
      <c r="P15" s="50">
        <v>0</v>
      </c>
      <c r="Q15" s="50">
        <v>0</v>
      </c>
      <c r="R15" s="51">
        <v>2081915.9698565779</v>
      </c>
      <c r="S15" s="51">
        <v>0</v>
      </c>
      <c r="T15" s="51">
        <v>0</v>
      </c>
      <c r="U15" s="51">
        <v>0</v>
      </c>
    </row>
    <row r="16" spans="1:21" x14ac:dyDescent="0.25">
      <c r="B16" s="33">
        <v>4</v>
      </c>
      <c r="C16" s="34">
        <f t="shared" si="1"/>
        <v>44923</v>
      </c>
      <c r="D16" s="29">
        <v>44925</v>
      </c>
      <c r="E16" s="35">
        <f>EXP(-F16/100*(D16-$C$12)/365)</f>
        <v>1.0011606360197005</v>
      </c>
      <c r="F16" s="35">
        <f>Rates!N12</f>
        <v>-0.34421666331887901</v>
      </c>
      <c r="G16" s="35">
        <f t="shared" si="0"/>
        <v>0.9894454805005779</v>
      </c>
      <c r="H16" s="35">
        <f>Rates!G12</f>
        <v>3.14867798574004</v>
      </c>
      <c r="I16" s="35">
        <f>(I$15*($D$18-$D16)+I$18*($D16-$D$15))/($D$18-$D$15)</f>
        <v>10.134774362838181</v>
      </c>
      <c r="J16" s="35">
        <f>MAX((I16^2*($C16-$C$12)-I15^2*($C15-$C$12))/($C16-$C15),1)^0.5</f>
        <v>10.167801552365056</v>
      </c>
      <c r="K16" s="35">
        <f>(K$15*($D$18-$D16)+K$18*($D16-$D$15))/($D$18-$D$15)</f>
        <v>104.55910953830424</v>
      </c>
      <c r="L16" s="32">
        <f t="shared" si="3"/>
        <v>105.18177733963047</v>
      </c>
      <c r="N16" s="50">
        <v>2007706.8486840872</v>
      </c>
      <c r="O16" s="50">
        <v>0</v>
      </c>
      <c r="P16" s="50">
        <v>0</v>
      </c>
      <c r="Q16" s="50">
        <v>0</v>
      </c>
      <c r="R16" s="51">
        <v>2050593.1179323858</v>
      </c>
      <c r="S16" s="51">
        <v>0</v>
      </c>
      <c r="T16" s="51">
        <v>0</v>
      </c>
      <c r="U16" s="51">
        <v>0</v>
      </c>
    </row>
    <row r="17" spans="2:21" x14ac:dyDescent="0.25">
      <c r="B17" s="33">
        <v>5</v>
      </c>
      <c r="C17" s="34">
        <f t="shared" si="1"/>
        <v>44955</v>
      </c>
      <c r="D17" s="29">
        <v>44957</v>
      </c>
      <c r="E17" s="35">
        <f t="shared" si="2"/>
        <v>1.0028043863527656</v>
      </c>
      <c r="F17" s="35">
        <f>Rates!N13</f>
        <v>-0.65946349042748997</v>
      </c>
      <c r="G17" s="35">
        <f t="shared" si="0"/>
        <v>0.98639134841355691</v>
      </c>
      <c r="H17" s="35">
        <f>Rates!G13</f>
        <v>3.2266230870143202</v>
      </c>
      <c r="I17" s="35">
        <f>($I$15*($D$18-D17)+$I$18*(D17-$D$15))/($D$18-$D$15)</f>
        <v>10.146413509066294</v>
      </c>
      <c r="J17" s="35">
        <f t="shared" ref="J17:J48" si="4">MAX((I17^2*(C17-$C$12)-I16^2*(C16-$C$12))/(C17-C16),1)^0.5</f>
        <v>10.190303859816705</v>
      </c>
      <c r="K17" s="35">
        <f>(K$15*($D$18-$D17)+K$18*($D17-$D$15))/($D$18-$D$15)</f>
        <v>104.77893826195209</v>
      </c>
      <c r="L17" s="32">
        <f t="shared" si="3"/>
        <v>105.60602926155917</v>
      </c>
      <c r="N17" s="50">
        <v>1952836.4522948889</v>
      </c>
      <c r="O17" s="50">
        <v>0</v>
      </c>
      <c r="P17" s="50">
        <v>0</v>
      </c>
      <c r="Q17" s="50">
        <v>0</v>
      </c>
      <c r="R17" s="51">
        <v>1989495.5564866178</v>
      </c>
      <c r="S17" s="51">
        <v>0</v>
      </c>
      <c r="T17" s="51">
        <v>0</v>
      </c>
      <c r="U17" s="51">
        <v>0</v>
      </c>
    </row>
    <row r="18" spans="2:21" x14ac:dyDescent="0.25">
      <c r="B18" s="33">
        <v>6</v>
      </c>
      <c r="C18" s="34">
        <f t="shared" si="1"/>
        <v>44983</v>
      </c>
      <c r="D18" s="29">
        <v>44985</v>
      </c>
      <c r="E18" s="35">
        <f t="shared" si="2"/>
        <v>1.0031305384922231</v>
      </c>
      <c r="F18" s="35">
        <f>Rates!N14</f>
        <v>-0.623421707193756</v>
      </c>
      <c r="G18" s="35">
        <f t="shared" si="0"/>
        <v>0.9834908170275023</v>
      </c>
      <c r="H18" s="35">
        <f>Rates!G14</f>
        <v>3.3202989366176099</v>
      </c>
      <c r="I18" s="31">
        <f>Vols!E7</f>
        <v>10.156597762015892</v>
      </c>
      <c r="J18" s="35">
        <f t="shared" si="4"/>
        <v>10.212068053732121</v>
      </c>
      <c r="K18" s="31">
        <f>Vols!G7</f>
        <v>104.97128839514396</v>
      </c>
      <c r="L18" s="32">
        <f t="shared" si="3"/>
        <v>106.01618102621055</v>
      </c>
      <c r="N18" s="50">
        <v>1915724.3727707877</v>
      </c>
      <c r="O18" s="50">
        <v>0</v>
      </c>
      <c r="P18" s="50">
        <v>0</v>
      </c>
      <c r="Q18" s="50">
        <v>0</v>
      </c>
      <c r="R18" s="51">
        <v>1960179.3580655404</v>
      </c>
      <c r="S18" s="51">
        <v>0</v>
      </c>
      <c r="T18" s="51">
        <v>0</v>
      </c>
      <c r="U18" s="51">
        <v>0</v>
      </c>
    </row>
    <row r="19" spans="2:21" x14ac:dyDescent="0.25">
      <c r="B19" s="33">
        <v>7</v>
      </c>
      <c r="C19" s="34">
        <f t="shared" si="1"/>
        <v>45014</v>
      </c>
      <c r="D19" s="29">
        <v>45016</v>
      </c>
      <c r="E19" s="35">
        <f t="shared" si="2"/>
        <v>1.0035876353405997</v>
      </c>
      <c r="F19" s="35">
        <f>Rates!N15</f>
        <v>-0.61081472976494899</v>
      </c>
      <c r="G19" s="35">
        <f t="shared" si="0"/>
        <v>0.98035733762978794</v>
      </c>
      <c r="H19" s="35">
        <f>($H$18*($D$21-D19)+$H$21*(D19-$D$18))/($D$21-$D$18)</f>
        <v>3.3836085952051467</v>
      </c>
      <c r="I19" s="35">
        <f>($I$18*($D$21-D19)+$I$21*(D19-$D$18))/($D$21-$D$18)</f>
        <v>10.159603420664013</v>
      </c>
      <c r="J19" s="35">
        <f t="shared" si="4"/>
        <v>10.177134866829423</v>
      </c>
      <c r="K19" s="35">
        <f>($K$18*($D$21-D19)+$K$21*(D19-$D$18))/($D$21-$D$18)</f>
        <v>105.63255124348339</v>
      </c>
      <c r="L19" s="32">
        <f t="shared" si="3"/>
        <v>109.41371411358526</v>
      </c>
      <c r="N19" s="50">
        <v>1876248.9146648049</v>
      </c>
      <c r="O19" s="50">
        <v>0</v>
      </c>
      <c r="P19" s="50">
        <v>0</v>
      </c>
      <c r="Q19" s="50">
        <v>0</v>
      </c>
      <c r="R19" s="51">
        <v>1921775.55286863</v>
      </c>
      <c r="S19" s="51">
        <v>0</v>
      </c>
      <c r="T19" s="51">
        <v>0</v>
      </c>
      <c r="U19" s="51">
        <v>0</v>
      </c>
    </row>
    <row r="20" spans="2:21" x14ac:dyDescent="0.25">
      <c r="B20" s="33">
        <v>8</v>
      </c>
      <c r="C20" s="34">
        <f t="shared" si="1"/>
        <v>45042</v>
      </c>
      <c r="D20" s="29">
        <v>45044</v>
      </c>
      <c r="E20" s="35">
        <f t="shared" si="2"/>
        <v>1.0041097977330129</v>
      </c>
      <c r="F20" s="35">
        <f>Rates!N16</f>
        <v>-0.61859590389399999</v>
      </c>
      <c r="G20" s="35">
        <f t="shared" si="0"/>
        <v>0.97744532805030315</v>
      </c>
      <c r="H20" s="35">
        <f>($H$18*($D$21-D20)+$H$21*(D20-$D$18))/($D$21-$D$18)</f>
        <v>3.4407915126390516</v>
      </c>
      <c r="I20" s="35">
        <f>($I$18*($D$21-D20)+$I$21*(D20-$D$18))/($D$21-$D$18)</f>
        <v>10.162318209120379</v>
      </c>
      <c r="J20" s="35">
        <f t="shared" si="4"/>
        <v>10.182849550320789</v>
      </c>
      <c r="K20" s="35">
        <f>($K$18*($D$21-D20)+$K$21*(D20-$D$18))/($D$21-$D$18)</f>
        <v>106.22982091295125</v>
      </c>
      <c r="L20" s="32">
        <f t="shared" si="3"/>
        <v>110.64743836353318</v>
      </c>
      <c r="N20" s="50">
        <v>1839739.9053975206</v>
      </c>
      <c r="O20" s="50">
        <v>0</v>
      </c>
      <c r="P20" s="50">
        <v>0</v>
      </c>
      <c r="Q20" s="50">
        <v>0</v>
      </c>
      <c r="R20" s="51">
        <v>1857577.7015300647</v>
      </c>
      <c r="S20" s="51">
        <v>0</v>
      </c>
      <c r="T20" s="51">
        <v>0</v>
      </c>
      <c r="U20" s="51">
        <v>0</v>
      </c>
    </row>
    <row r="21" spans="2:21" x14ac:dyDescent="0.25">
      <c r="B21" s="33">
        <v>9</v>
      </c>
      <c r="C21" s="34">
        <f t="shared" si="1"/>
        <v>45075</v>
      </c>
      <c r="D21" s="29">
        <v>45077</v>
      </c>
      <c r="E21" s="35">
        <f t="shared" si="2"/>
        <v>1.0044562156363017</v>
      </c>
      <c r="F21" s="35">
        <f>Rates!N17</f>
        <v>-0.59014741045066399</v>
      </c>
      <c r="G21" s="35">
        <f t="shared" si="0"/>
        <v>0.9739147198114454</v>
      </c>
      <c r="H21" s="35">
        <f>Rates!G17</f>
        <v>3.5081856653290102</v>
      </c>
      <c r="I21" s="31">
        <f>Vols!E8</f>
        <v>10.165517781229669</v>
      </c>
      <c r="J21" s="35">
        <f t="shared" si="4"/>
        <v>10.188757170758983</v>
      </c>
      <c r="K21" s="31">
        <f>Vols!G8</f>
        <v>106.9337458805384</v>
      </c>
      <c r="L21" s="32">
        <f t="shared" si="3"/>
        <v>111.92009269447904</v>
      </c>
      <c r="N21" s="50">
        <v>1800183.2529661786</v>
      </c>
      <c r="O21" s="50">
        <v>0</v>
      </c>
      <c r="P21" s="50">
        <v>0</v>
      </c>
      <c r="Q21" s="50">
        <v>0</v>
      </c>
      <c r="R21" s="51">
        <v>1799368.001661632</v>
      </c>
      <c r="S21" s="51">
        <v>0</v>
      </c>
      <c r="T21" s="51">
        <v>0</v>
      </c>
      <c r="U21" s="51">
        <v>0</v>
      </c>
    </row>
    <row r="22" spans="2:21" x14ac:dyDescent="0.25">
      <c r="B22" s="33">
        <v>10</v>
      </c>
      <c r="C22" s="34">
        <f t="shared" si="1"/>
        <v>45105</v>
      </c>
      <c r="D22" s="29">
        <v>45107</v>
      </c>
      <c r="E22" s="35">
        <f t="shared" si="2"/>
        <v>1.0049826623301608</v>
      </c>
      <c r="F22" s="35">
        <f>Rates!N18</f>
        <v>-0.59480519067264004</v>
      </c>
      <c r="G22" s="35">
        <f t="shared" si="0"/>
        <v>0.97090773592721891</v>
      </c>
      <c r="H22" s="35">
        <f>($H$21*($D$24-D22)+$H$24*(D22-$D$21))/($D$24-$D$21)</f>
        <v>3.5331802358932789</v>
      </c>
      <c r="I22" s="35">
        <f>($I$21*($D$24-D22)+$I$24*(D22-$D$21))/($D$24-$D$21)</f>
        <v>10.152366665059279</v>
      </c>
      <c r="J22" s="35">
        <f t="shared" si="4"/>
        <v>10.03189926622724</v>
      </c>
      <c r="K22" s="35">
        <f>($K$21*($D$24-D22)+$K$24*(D22-$D$21))/($D$24-$D$21)</f>
        <v>108.5426721599746</v>
      </c>
      <c r="L22" s="32">
        <f t="shared" si="3"/>
        <v>122.2143661401703</v>
      </c>
      <c r="N22" s="50">
        <v>1766381.8028395905</v>
      </c>
      <c r="O22" s="50">
        <v>0</v>
      </c>
      <c r="P22" s="50">
        <v>0</v>
      </c>
      <c r="Q22" s="50">
        <v>0</v>
      </c>
      <c r="R22" s="51">
        <v>1801473.6467318472</v>
      </c>
      <c r="S22" s="51">
        <v>0</v>
      </c>
      <c r="T22" s="51">
        <v>0</v>
      </c>
      <c r="U22" s="51">
        <v>0</v>
      </c>
    </row>
    <row r="23" spans="2:21" x14ac:dyDescent="0.25">
      <c r="B23" s="33">
        <v>11</v>
      </c>
      <c r="C23" s="34">
        <f t="shared" si="1"/>
        <v>45136</v>
      </c>
      <c r="D23" s="29">
        <v>45138</v>
      </c>
      <c r="E23" s="35">
        <f t="shared" si="2"/>
        <v>1.0055916638110822</v>
      </c>
      <c r="F23" s="35">
        <f>Rates!N19</f>
        <v>-0.60573580358911105</v>
      </c>
      <c r="G23" s="35">
        <f t="shared" si="0"/>
        <v>0.96776849861145853</v>
      </c>
      <c r="H23" s="35">
        <f>($H$21*($D$24-D23)+$H$24*(D23-$D$21))/($D$24-$D$21)</f>
        <v>3.5590079588096897</v>
      </c>
      <c r="I23" s="35">
        <f>($I$21*($D$24-D23)+$I$24*(D23-$D$21))/($D$24-$D$21)</f>
        <v>10.138777178349876</v>
      </c>
      <c r="J23" s="35">
        <f t="shared" si="4"/>
        <v>10.004979043160922</v>
      </c>
      <c r="K23" s="35">
        <f>($K$21*($D$24-D23)+$K$24*(D23-$D$21))/($D$24-$D$21)</f>
        <v>110.20522931539203</v>
      </c>
      <c r="L23" s="32">
        <f t="shared" si="3"/>
        <v>125.29916187164267</v>
      </c>
      <c r="N23" s="50">
        <v>1731798.3031577487</v>
      </c>
      <c r="O23" s="50">
        <v>0</v>
      </c>
      <c r="P23" s="50">
        <v>0</v>
      </c>
      <c r="Q23" s="50">
        <v>0</v>
      </c>
      <c r="R23" s="51">
        <v>1805821.8118549082</v>
      </c>
      <c r="S23" s="51">
        <v>0</v>
      </c>
      <c r="T23" s="51">
        <v>0</v>
      </c>
      <c r="U23" s="51">
        <v>0</v>
      </c>
    </row>
    <row r="24" spans="2:21" x14ac:dyDescent="0.25">
      <c r="B24" s="33">
        <v>12</v>
      </c>
      <c r="C24" s="34">
        <f t="shared" si="1"/>
        <v>45167</v>
      </c>
      <c r="D24" s="29">
        <v>45169</v>
      </c>
      <c r="E24" s="35">
        <f t="shared" si="2"/>
        <v>1.0060091893481731</v>
      </c>
      <c r="F24" s="35">
        <f>Rates!N20</f>
        <v>-0.59585565518139205</v>
      </c>
      <c r="G24" s="35">
        <f t="shared" si="0"/>
        <v>0.96459709190667853</v>
      </c>
      <c r="H24" s="35">
        <f>Rates!G20</f>
        <v>3.5848356817261</v>
      </c>
      <c r="I24" s="31">
        <f>Vols!E9</f>
        <v>10.125187691640473</v>
      </c>
      <c r="J24" s="35">
        <f t="shared" si="4"/>
        <v>9.9775980061976721</v>
      </c>
      <c r="K24" s="31">
        <f>Vols!G9</f>
        <v>111.86778647080943</v>
      </c>
      <c r="L24" s="32">
        <f t="shared" si="3"/>
        <v>128.42247370661019</v>
      </c>
      <c r="N24" s="50">
        <v>1700163.0897447027</v>
      </c>
      <c r="O24" s="50">
        <v>0</v>
      </c>
      <c r="P24" s="50">
        <v>0</v>
      </c>
      <c r="Q24" s="50">
        <v>0</v>
      </c>
      <c r="R24" s="51">
        <v>1803279.3572399509</v>
      </c>
      <c r="S24" s="51">
        <v>0</v>
      </c>
      <c r="T24" s="51">
        <v>0</v>
      </c>
      <c r="U24" s="51">
        <v>0</v>
      </c>
    </row>
    <row r="25" spans="2:21" x14ac:dyDescent="0.25">
      <c r="B25" s="33">
        <v>13</v>
      </c>
      <c r="C25" s="34">
        <f t="shared" si="1"/>
        <v>45197</v>
      </c>
      <c r="D25" s="29">
        <v>45199</v>
      </c>
      <c r="E25" s="35">
        <f t="shared" si="2"/>
        <v>1.006522267529451</v>
      </c>
      <c r="F25" s="35">
        <f>(F24*(D36-D25)+F36*(D25-D24))/(D36-D24)</f>
        <v>-0.59770722822426503</v>
      </c>
      <c r="G25" s="35">
        <f t="shared" si="0"/>
        <v>0.96172150854951655</v>
      </c>
      <c r="H25" s="35">
        <f>($H$24*($D$30-D25)+$H$30*(D25-$D$24))/($D$30-$D$24)</f>
        <v>3.5884338207983322</v>
      </c>
      <c r="I25" s="35">
        <f>($I$24*($D$36-D25)+$I$36*(D25-$D$24))/($D$36-$D$24)</f>
        <v>10.072582584484456</v>
      </c>
      <c r="J25" s="35">
        <f t="shared" si="4"/>
        <v>9.409025729233969</v>
      </c>
      <c r="K25" s="35">
        <f>($K$24*($D$36-D25)+$K$36*(D25-$D$24))/($D$36-$D$24)</f>
        <v>112.34864548296476</v>
      </c>
      <c r="L25" s="32">
        <f t="shared" si="3"/>
        <v>118.04230369204919</v>
      </c>
      <c r="N25" s="50">
        <v>1670346.3480019104</v>
      </c>
      <c r="O25" s="50">
        <v>0</v>
      </c>
      <c r="P25" s="50">
        <v>0</v>
      </c>
      <c r="Q25" s="50">
        <v>0</v>
      </c>
      <c r="R25" s="51">
        <v>1823607.8133496374</v>
      </c>
      <c r="S25" s="51">
        <v>0</v>
      </c>
      <c r="T25" s="51">
        <v>0</v>
      </c>
      <c r="U25" s="51">
        <v>0</v>
      </c>
    </row>
    <row r="26" spans="2:21" x14ac:dyDescent="0.25">
      <c r="B26" s="33">
        <v>14</v>
      </c>
      <c r="C26" s="34">
        <f t="shared" si="1"/>
        <v>45228</v>
      </c>
      <c r="D26" s="29">
        <v>45230</v>
      </c>
      <c r="E26" s="35">
        <f t="shared" si="2"/>
        <v>1.0070559433376629</v>
      </c>
      <c r="F26" s="35">
        <f t="shared" ref="F26:F35" si="5">($F$24*($D$36-D26)+$F$36*(D26-$D$24))/($D$36-$D$24)</f>
        <v>-0.59962052036856728</v>
      </c>
      <c r="G26" s="35">
        <f t="shared" si="0"/>
        <v>0.9587531204788875</v>
      </c>
      <c r="H26" s="35">
        <f>($H$24*($D$30-D26)+$H$30*(D26-$D$24))/($D$30-$D$24)</f>
        <v>3.5921518978396398</v>
      </c>
      <c r="I26" s="35">
        <f t="shared" ref="I26:I34" si="6">($I$24*($D$36-D26)+$I$36*(D26-$D$24))/($D$36-$D$24)</f>
        <v>10.018223973756569</v>
      </c>
      <c r="J26" s="35">
        <f t="shared" si="4"/>
        <v>9.2978082185550814</v>
      </c>
      <c r="K26" s="35">
        <f t="shared" ref="K26:K34" si="7">($K$24*($D$36-D26)+$K$36*(D26-$D$24))/($D$36-$D$24)</f>
        <v>112.84553312885861</v>
      </c>
      <c r="L26" s="32">
        <f t="shared" si="3"/>
        <v>118.99533005835484</v>
      </c>
      <c r="N26" s="50">
        <v>1640304.6724553965</v>
      </c>
      <c r="O26" s="50">
        <v>0</v>
      </c>
      <c r="P26" s="50">
        <v>0</v>
      </c>
      <c r="Q26" s="50">
        <v>0</v>
      </c>
      <c r="R26" s="51">
        <v>1851193.4641790229</v>
      </c>
      <c r="S26" s="51">
        <v>0</v>
      </c>
      <c r="T26" s="51">
        <v>0</v>
      </c>
      <c r="U26" s="51">
        <v>0</v>
      </c>
    </row>
    <row r="27" spans="2:21" x14ac:dyDescent="0.25">
      <c r="B27" s="33">
        <v>15</v>
      </c>
      <c r="C27" s="34">
        <f t="shared" si="1"/>
        <v>45258</v>
      </c>
      <c r="D27" s="29">
        <v>45260</v>
      </c>
      <c r="E27" s="35">
        <f t="shared" si="2"/>
        <v>1.0075757910629102</v>
      </c>
      <c r="F27" s="35">
        <f t="shared" si="5"/>
        <v>-0.60147209341144026</v>
      </c>
      <c r="G27" s="35">
        <f t="shared" si="0"/>
        <v>0.95588346257278256</v>
      </c>
      <c r="H27" s="35">
        <f>($H$24*($D$30-D27)+$H$30*(D27-$D$24))/($D$30-$D$24)</f>
        <v>3.595750036911872</v>
      </c>
      <c r="I27" s="35">
        <f t="shared" si="6"/>
        <v>9.9656188666005523</v>
      </c>
      <c r="J27" s="35">
        <f t="shared" si="4"/>
        <v>9.1861732097462578</v>
      </c>
      <c r="K27" s="35">
        <f t="shared" si="7"/>
        <v>113.32639214101394</v>
      </c>
      <c r="L27" s="32">
        <f t="shared" si="3"/>
        <v>119.94672916460426</v>
      </c>
      <c r="N27" s="50">
        <v>1611900.3684973815</v>
      </c>
      <c r="O27" s="50">
        <v>0</v>
      </c>
      <c r="P27" s="50">
        <v>0</v>
      </c>
      <c r="Q27" s="50">
        <v>0</v>
      </c>
      <c r="R27" s="51">
        <v>1774624.8021368906</v>
      </c>
      <c r="S27" s="51">
        <v>0</v>
      </c>
      <c r="T27" s="51">
        <v>0</v>
      </c>
      <c r="U27" s="51">
        <v>0</v>
      </c>
    </row>
    <row r="28" spans="2:21" x14ac:dyDescent="0.25">
      <c r="B28" s="33">
        <v>16</v>
      </c>
      <c r="C28" s="34">
        <f t="shared" si="1"/>
        <v>45289</v>
      </c>
      <c r="D28" s="29">
        <v>45291</v>
      </c>
      <c r="E28" s="35">
        <f t="shared" si="2"/>
        <v>1.0081164724664444</v>
      </c>
      <c r="F28" s="35">
        <f t="shared" si="5"/>
        <v>-0.6033853855557425</v>
      </c>
      <c r="G28" s="35">
        <f t="shared" si="0"/>
        <v>0.95292125129581684</v>
      </c>
      <c r="H28" s="35">
        <f>($H$24*($D$30-D28)+$H$30*(D28-$D$24))/($D$30-$D$24)</f>
        <v>3.5994681139531792</v>
      </c>
      <c r="I28" s="35">
        <f t="shared" si="6"/>
        <v>9.9112602558726657</v>
      </c>
      <c r="J28" s="35">
        <f t="shared" si="4"/>
        <v>9.0741156288606852</v>
      </c>
      <c r="K28" s="35">
        <f t="shared" si="7"/>
        <v>113.82327978690779</v>
      </c>
      <c r="L28" s="32">
        <f t="shared" si="3"/>
        <v>120.89660424362502</v>
      </c>
      <c r="N28" s="50">
        <v>1583170.7010027284</v>
      </c>
      <c r="O28" s="50">
        <v>0</v>
      </c>
      <c r="P28" s="50">
        <v>0</v>
      </c>
      <c r="Q28" s="50">
        <v>0</v>
      </c>
      <c r="R28" s="51">
        <v>1840995.616518053</v>
      </c>
      <c r="S28" s="51">
        <v>0</v>
      </c>
      <c r="T28" s="51">
        <v>0</v>
      </c>
      <c r="U28" s="51">
        <v>0</v>
      </c>
    </row>
    <row r="29" spans="2:21" x14ac:dyDescent="0.25">
      <c r="B29" s="33">
        <v>17</v>
      </c>
      <c r="C29" s="34">
        <f t="shared" si="1"/>
        <v>45320</v>
      </c>
      <c r="D29" s="29">
        <v>45322</v>
      </c>
      <c r="E29" s="35">
        <f t="shared" si="2"/>
        <v>1.0086607221258381</v>
      </c>
      <c r="F29" s="35">
        <f t="shared" si="5"/>
        <v>-0.60529867770004453</v>
      </c>
      <c r="G29" s="35">
        <f t="shared" si="0"/>
        <v>0.94996222005362785</v>
      </c>
      <c r="H29" s="35">
        <f>($H$24*($D$30-D29)+$H$30*(D29-$D$24))/($D$30-$D$24)</f>
        <v>3.6031861909944864</v>
      </c>
      <c r="I29" s="35">
        <f t="shared" si="6"/>
        <v>9.8569016451447808</v>
      </c>
      <c r="J29" s="35">
        <f t="shared" si="4"/>
        <v>8.959763660010827</v>
      </c>
      <c r="K29" s="35">
        <f t="shared" si="7"/>
        <v>114.32016743280161</v>
      </c>
      <c r="L29" s="32">
        <f t="shared" si="3"/>
        <v>121.86047677039298</v>
      </c>
      <c r="N29" s="50">
        <v>1555011.7328592264</v>
      </c>
      <c r="O29" s="50">
        <v>0</v>
      </c>
      <c r="P29" s="50">
        <v>0</v>
      </c>
      <c r="Q29" s="50">
        <v>0</v>
      </c>
      <c r="R29" s="51">
        <v>1679269.1570191816</v>
      </c>
      <c r="S29" s="51">
        <v>0</v>
      </c>
      <c r="T29" s="51">
        <v>0</v>
      </c>
      <c r="U29" s="51">
        <v>0</v>
      </c>
    </row>
    <row r="30" spans="2:21" x14ac:dyDescent="0.25">
      <c r="B30" s="33">
        <v>18</v>
      </c>
      <c r="C30" s="34">
        <f t="shared" si="1"/>
        <v>45348</v>
      </c>
      <c r="D30" s="29">
        <v>45350</v>
      </c>
      <c r="E30" s="35">
        <f t="shared" si="2"/>
        <v>1.0091553740003352</v>
      </c>
      <c r="F30" s="35">
        <f t="shared" si="5"/>
        <v>-0.60702681254005941</v>
      </c>
      <c r="G30" s="35">
        <f t="shared" si="0"/>
        <v>0.9472923028115936</v>
      </c>
      <c r="H30" s="35">
        <f>Rates!G21</f>
        <v>3.6065444541285698</v>
      </c>
      <c r="I30" s="35">
        <f t="shared" si="6"/>
        <v>9.8078035451324972</v>
      </c>
      <c r="J30" s="35">
        <f t="shared" si="4"/>
        <v>8.8504952759856312</v>
      </c>
      <c r="K30" s="35">
        <f t="shared" si="7"/>
        <v>114.76896917747993</v>
      </c>
      <c r="L30" s="32">
        <f t="shared" si="3"/>
        <v>122.77623941022095</v>
      </c>
      <c r="N30" s="50">
        <v>1530023.8551477697</v>
      </c>
      <c r="O30" s="50">
        <v>0</v>
      </c>
      <c r="P30" s="50">
        <v>0</v>
      </c>
      <c r="Q30" s="50">
        <v>0</v>
      </c>
      <c r="R30" s="51">
        <v>1637893.4208739409</v>
      </c>
      <c r="S30" s="51">
        <v>0</v>
      </c>
      <c r="T30" s="51">
        <v>0</v>
      </c>
      <c r="U30" s="51">
        <v>0</v>
      </c>
    </row>
    <row r="31" spans="2:21" x14ac:dyDescent="0.25">
      <c r="B31" s="33">
        <v>19</v>
      </c>
      <c r="C31" s="34">
        <f t="shared" si="1"/>
        <v>45380</v>
      </c>
      <c r="D31" s="29">
        <v>45382</v>
      </c>
      <c r="E31" s="35">
        <f t="shared" si="2"/>
        <v>1.0097242656307148</v>
      </c>
      <c r="F31" s="35">
        <f t="shared" si="5"/>
        <v>-0.6090018237857906</v>
      </c>
      <c r="G31" s="35">
        <f t="shared" si="0"/>
        <v>0.94447638877068751</v>
      </c>
      <c r="H31" s="35">
        <f>($H$30*($D$36-D31)+$H$36*(D31-$D$30))/($D$36-$D$30)</f>
        <v>3.5949096065183994</v>
      </c>
      <c r="I31" s="35">
        <f t="shared" si="6"/>
        <v>9.7516914308327447</v>
      </c>
      <c r="J31" s="35">
        <f t="shared" si="4"/>
        <v>8.7389342583659815</v>
      </c>
      <c r="K31" s="35">
        <f t="shared" si="7"/>
        <v>115.28188545711228</v>
      </c>
      <c r="L31" s="32">
        <f t="shared" si="3"/>
        <v>123.70624075033248</v>
      </c>
      <c r="N31" s="50">
        <v>1504549.8324984708</v>
      </c>
      <c r="O31" s="50">
        <v>0</v>
      </c>
      <c r="P31" s="50">
        <v>0</v>
      </c>
      <c r="Q31" s="50">
        <v>0</v>
      </c>
      <c r="R31" s="51">
        <v>1614685.0521228025</v>
      </c>
      <c r="S31" s="51">
        <v>0</v>
      </c>
      <c r="T31" s="51">
        <v>0</v>
      </c>
      <c r="U31" s="51">
        <v>0</v>
      </c>
    </row>
    <row r="32" spans="2:21" x14ac:dyDescent="0.25">
      <c r="B32" s="33">
        <v>20</v>
      </c>
      <c r="C32" s="34">
        <f t="shared" si="1"/>
        <v>45410</v>
      </c>
      <c r="D32" s="29">
        <v>45412</v>
      </c>
      <c r="E32" s="35">
        <f t="shared" si="2"/>
        <v>1.0102610701981749</v>
      </c>
      <c r="F32" s="35">
        <f t="shared" si="5"/>
        <v>-0.61085339682866369</v>
      </c>
      <c r="G32" s="35">
        <f t="shared" si="0"/>
        <v>0.9418615227412751</v>
      </c>
      <c r="H32" s="35">
        <f>($H$30*($D$36-D32)+$H$36*(D32-$D$30))/($D$36-$D$30)</f>
        <v>3.5840019368838649</v>
      </c>
      <c r="I32" s="35">
        <f t="shared" si="6"/>
        <v>9.6990863236767257</v>
      </c>
      <c r="J32" s="35">
        <f t="shared" si="4"/>
        <v>8.6231331159361186</v>
      </c>
      <c r="K32" s="35">
        <f t="shared" si="7"/>
        <v>115.7627444692676</v>
      </c>
      <c r="L32" s="32">
        <f t="shared" si="3"/>
        <v>124.66570339413036</v>
      </c>
      <c r="N32" s="50">
        <v>1481260.0629194172</v>
      </c>
      <c r="O32" s="50">
        <v>0</v>
      </c>
      <c r="P32" s="50">
        <v>0</v>
      </c>
      <c r="Q32" s="50">
        <v>0</v>
      </c>
      <c r="R32" s="51">
        <v>1552410.1009406869</v>
      </c>
      <c r="S32" s="51">
        <v>0</v>
      </c>
      <c r="T32" s="51">
        <v>0</v>
      </c>
      <c r="U32" s="51">
        <v>0</v>
      </c>
    </row>
    <row r="33" spans="2:21" x14ac:dyDescent="0.25">
      <c r="B33" s="33">
        <v>21</v>
      </c>
      <c r="C33" s="34">
        <f t="shared" si="1"/>
        <v>45441</v>
      </c>
      <c r="D33" s="29">
        <v>45443</v>
      </c>
      <c r="E33" s="35">
        <f t="shared" si="2"/>
        <v>1.0108193002116208</v>
      </c>
      <c r="F33" s="35">
        <f t="shared" si="5"/>
        <v>-0.61276668897296582</v>
      </c>
      <c r="G33" s="35">
        <f t="shared" si="0"/>
        <v>0.93918479092130402</v>
      </c>
      <c r="H33" s="35">
        <f>($H$30*($D$36-D33)+$H$36*(D33-$D$30))/($D$36-$D$30)</f>
        <v>3.5727306782615122</v>
      </c>
      <c r="I33" s="35">
        <f t="shared" si="6"/>
        <v>9.6447277129488391</v>
      </c>
      <c r="J33" s="35">
        <f t="shared" si="4"/>
        <v>8.5086866716793281</v>
      </c>
      <c r="K33" s="35">
        <f t="shared" si="7"/>
        <v>116.25963211516145</v>
      </c>
      <c r="L33" s="32">
        <f t="shared" si="3"/>
        <v>125.60834004613875</v>
      </c>
      <c r="N33" s="50">
        <v>1457751.1521259665</v>
      </c>
      <c r="O33" s="50">
        <v>0</v>
      </c>
      <c r="P33" s="50">
        <v>0</v>
      </c>
      <c r="Q33" s="50">
        <v>0</v>
      </c>
      <c r="R33" s="51">
        <v>1490864.1059654669</v>
      </c>
      <c r="S33" s="51">
        <v>0</v>
      </c>
      <c r="T33" s="51">
        <v>0</v>
      </c>
      <c r="U33" s="51">
        <v>0</v>
      </c>
    </row>
    <row r="34" spans="2:21" x14ac:dyDescent="0.25">
      <c r="B34" s="33">
        <v>22</v>
      </c>
      <c r="C34" s="34">
        <f t="shared" si="1"/>
        <v>45471</v>
      </c>
      <c r="D34" s="29">
        <v>45473</v>
      </c>
      <c r="E34" s="35">
        <f t="shared" si="2"/>
        <v>1.011362946060921</v>
      </c>
      <c r="F34" s="35">
        <f t="shared" si="5"/>
        <v>-0.61461826201583891</v>
      </c>
      <c r="G34" s="35">
        <f t="shared" si="0"/>
        <v>0.93661872224901876</v>
      </c>
      <c r="H34" s="35">
        <f>($H$30*($D$36-D34)+$H$36*(D34-$D$30))/($D$36-$D$30)</f>
        <v>3.5618230086269778</v>
      </c>
      <c r="I34" s="35">
        <f t="shared" si="6"/>
        <v>9.5921226057928219</v>
      </c>
      <c r="J34" s="35">
        <f t="shared" si="4"/>
        <v>8.3936965094800851</v>
      </c>
      <c r="K34" s="35">
        <f t="shared" si="7"/>
        <v>116.74049112731679</v>
      </c>
      <c r="L34" s="32">
        <f t="shared" si="3"/>
        <v>126.54958997309679</v>
      </c>
      <c r="N34" s="50">
        <v>1435502.2211452255</v>
      </c>
      <c r="O34" s="50">
        <v>0</v>
      </c>
      <c r="P34" s="50">
        <v>0</v>
      </c>
      <c r="Q34" s="50">
        <v>0</v>
      </c>
      <c r="R34" s="51">
        <v>1476908.3664222343</v>
      </c>
      <c r="S34" s="51">
        <v>0</v>
      </c>
      <c r="T34" s="51">
        <v>0</v>
      </c>
      <c r="U34" s="51">
        <v>0</v>
      </c>
    </row>
    <row r="35" spans="2:21" x14ac:dyDescent="0.25">
      <c r="B35" s="33">
        <v>23</v>
      </c>
      <c r="C35" s="34">
        <f t="shared" si="1"/>
        <v>45502</v>
      </c>
      <c r="D35" s="29">
        <v>45504</v>
      </c>
      <c r="E35" s="35">
        <f t="shared" si="2"/>
        <v>1.011928256302393</v>
      </c>
      <c r="F35" s="35">
        <f t="shared" si="5"/>
        <v>-0.61653155416014105</v>
      </c>
      <c r="G35" s="35">
        <f t="shared" si="0"/>
        <v>0.93399207661712969</v>
      </c>
      <c r="H35" s="35">
        <f>($H$30*($D$36-D35)+$H$36*(D35-$D$30))/($D$36-$D$30)</f>
        <v>3.5505517500046246</v>
      </c>
      <c r="I35" s="35">
        <f>($I$24*($D$36-D35)+$I$36*(D35-$D$24))/($D$36-$D$24)</f>
        <v>9.5377639950649353</v>
      </c>
      <c r="J35" s="35">
        <f t="shared" si="4"/>
        <v>8.2781513000033655</v>
      </c>
      <c r="K35" s="35">
        <f>($K$24*($D$36-D35)+$K$36*(D35-$D$24))/($D$36-$D$24)</f>
        <v>117.23737877321062</v>
      </c>
      <c r="L35" s="32">
        <f t="shared" si="3"/>
        <v>127.48954535307537</v>
      </c>
      <c r="N35" s="50">
        <v>1412995.0998849224</v>
      </c>
      <c r="O35" s="50">
        <v>0</v>
      </c>
      <c r="P35" s="50">
        <v>0</v>
      </c>
      <c r="Q35" s="50">
        <v>0</v>
      </c>
      <c r="R35" s="51">
        <v>1471617.571641604</v>
      </c>
      <c r="S35" s="51">
        <v>0</v>
      </c>
      <c r="T35" s="51">
        <v>0</v>
      </c>
      <c r="U35" s="51">
        <v>0</v>
      </c>
    </row>
    <row r="36" spans="2:21" x14ac:dyDescent="0.25">
      <c r="B36" s="33">
        <v>24</v>
      </c>
      <c r="C36" s="34">
        <f t="shared" si="1"/>
        <v>45532</v>
      </c>
      <c r="D36" s="29">
        <v>45534</v>
      </c>
      <c r="E36" s="35">
        <f t="shared" si="2"/>
        <v>1.0124787646070696</v>
      </c>
      <c r="F36" s="35">
        <f>Rates!N22</f>
        <v>-0.61838312720301403</v>
      </c>
      <c r="G36" s="35">
        <f t="shared" si="0"/>
        <v>0.93147415517639509</v>
      </c>
      <c r="H36" s="35">
        <f>Rates!G22</f>
        <v>3.5396440803700902</v>
      </c>
      <c r="I36" s="31">
        <f>Vols!E10</f>
        <v>9.4851588879089181</v>
      </c>
      <c r="J36" s="35">
        <f t="shared" si="4"/>
        <v>8.1620159809340258</v>
      </c>
      <c r="K36" s="31">
        <f>Vols!G10</f>
        <v>117.71823778536596</v>
      </c>
      <c r="L36" s="32">
        <f t="shared" si="3"/>
        <v>128.42817359570452</v>
      </c>
      <c r="N36" s="50">
        <v>1391652.0700476668</v>
      </c>
      <c r="O36" s="50">
        <v>0</v>
      </c>
      <c r="P36" s="50">
        <v>0</v>
      </c>
      <c r="Q36" s="50">
        <v>0</v>
      </c>
      <c r="R36" s="51">
        <v>1484666.7533646913</v>
      </c>
      <c r="S36" s="51">
        <v>0</v>
      </c>
      <c r="T36" s="51">
        <v>0</v>
      </c>
      <c r="U36" s="51">
        <v>0</v>
      </c>
    </row>
    <row r="37" spans="2:21" x14ac:dyDescent="0.25">
      <c r="B37" s="33">
        <v>25</v>
      </c>
      <c r="C37" s="34">
        <f t="shared" si="1"/>
        <v>45563</v>
      </c>
      <c r="D37" s="29">
        <v>45565</v>
      </c>
      <c r="E37" s="35">
        <f t="shared" si="2"/>
        <v>1.0130889319554226</v>
      </c>
      <c r="F37" s="35">
        <f>($F$36*($D$48-D37)+$F$48*(D37-$D$36))/($D$48-$D$36)</f>
        <v>-0.6220792153048329</v>
      </c>
      <c r="G37" s="35">
        <f t="shared" si="0"/>
        <v>0.92902090012669658</v>
      </c>
      <c r="H37" s="35">
        <f t="shared" ref="H37:H47" si="8">($H$36*($D$48-D37)+$H$48*(D37-$D$36))/($D$48-$D$36)</f>
        <v>3.5219889497061185</v>
      </c>
      <c r="I37" s="35">
        <f>($I$36*($D$72-D37)+$I$72*(D37-$D$36))/($D$72-$D$36)</f>
        <v>9.4605234716369981</v>
      </c>
      <c r="J37" s="35">
        <f t="shared" si="4"/>
        <v>8.8606237527043898</v>
      </c>
      <c r="K37" s="35">
        <f>($K$36*($D$72-D37)+$K$72*(D37-$D$36))/($D$72-$D$36)</f>
        <v>119.25089353561486</v>
      </c>
      <c r="L37" s="32">
        <f t="shared" si="3"/>
        <v>150.90846169634236</v>
      </c>
      <c r="N37" s="50">
        <v>1948641.5641085845</v>
      </c>
      <c r="O37" s="50">
        <v>0</v>
      </c>
      <c r="P37" s="50">
        <v>0</v>
      </c>
      <c r="Q37" s="50">
        <v>-373626.90868383239</v>
      </c>
      <c r="R37" s="51">
        <v>2103139.8216287722</v>
      </c>
      <c r="S37" s="51">
        <v>0</v>
      </c>
      <c r="T37" s="51">
        <v>0</v>
      </c>
      <c r="U37" s="51">
        <v>-305571.82542822591</v>
      </c>
    </row>
    <row r="38" spans="2:21" x14ac:dyDescent="0.25">
      <c r="B38" s="33">
        <v>26</v>
      </c>
      <c r="C38" s="34">
        <f t="shared" si="1"/>
        <v>45594</v>
      </c>
      <c r="D38" s="29">
        <v>45596</v>
      </c>
      <c r="E38" s="35">
        <f t="shared" si="2"/>
        <v>1.0137058313351308</v>
      </c>
      <c r="F38" s="35">
        <f t="shared" ref="F38:F47" si="9">($F$36*($D$48-D38)+$F$48*(D38-$D$36))/($D$48-$D$36)</f>
        <v>-0.62577530340665177</v>
      </c>
      <c r="G38" s="35">
        <f t="shared" si="0"/>
        <v>0.92660189424309469</v>
      </c>
      <c r="H38" s="35">
        <f t="shared" si="8"/>
        <v>3.5043338190421465</v>
      </c>
      <c r="I38" s="35">
        <f t="shared" ref="I38:I70" si="10">($I$36*($D$72-D38)+$I$72*(D38-$D$36))/($D$72-$D$36)</f>
        <v>9.4358880553650764</v>
      </c>
      <c r="J38" s="35">
        <f t="shared" si="4"/>
        <v>8.809551326096063</v>
      </c>
      <c r="K38" s="35">
        <f t="shared" ref="K38:K71" si="11">($K$36*($D$72-D38)+$K$72*(D38-$D$36))/($D$72-$D$36)</f>
        <v>120.7835492858638</v>
      </c>
      <c r="L38" s="32">
        <f t="shared" si="3"/>
        <v>153.68726706198564</v>
      </c>
      <c r="N38" s="50">
        <v>1922641.6984102423</v>
      </c>
      <c r="O38" s="50">
        <v>0</v>
      </c>
      <c r="P38" s="50">
        <v>0</v>
      </c>
      <c r="Q38" s="50">
        <v>-405125.56304205279</v>
      </c>
      <c r="R38" s="51">
        <v>2033519.5758988408</v>
      </c>
      <c r="S38" s="51">
        <v>0</v>
      </c>
      <c r="T38" s="51">
        <v>0</v>
      </c>
      <c r="U38" s="51">
        <v>-359356.73073002195</v>
      </c>
    </row>
    <row r="39" spans="2:21" x14ac:dyDescent="0.25">
      <c r="B39" s="33">
        <v>27</v>
      </c>
      <c r="C39" s="34">
        <f t="shared" si="1"/>
        <v>45624</v>
      </c>
      <c r="D39" s="29">
        <v>45626</v>
      </c>
      <c r="E39" s="35">
        <f t="shared" si="2"/>
        <v>1.0143092516837868</v>
      </c>
      <c r="F39" s="35">
        <f t="shared" si="9"/>
        <v>-0.62935216286002482</v>
      </c>
      <c r="G39" s="35">
        <f t="shared" si="0"/>
        <v>0.92429331006690052</v>
      </c>
      <c r="H39" s="35">
        <f t="shared" si="8"/>
        <v>3.4872482087221734</v>
      </c>
      <c r="I39" s="35">
        <f t="shared" si="10"/>
        <v>9.412047329940636</v>
      </c>
      <c r="J39" s="35">
        <f t="shared" si="4"/>
        <v>8.7592143368741553</v>
      </c>
      <c r="K39" s="35">
        <f t="shared" si="11"/>
        <v>122.26676452804016</v>
      </c>
      <c r="L39" s="32">
        <f t="shared" si="3"/>
        <v>156.41692447385213</v>
      </c>
      <c r="N39" s="50">
        <v>1898171.1465500006</v>
      </c>
      <c r="O39" s="50">
        <v>0</v>
      </c>
      <c r="P39" s="50">
        <v>0</v>
      </c>
      <c r="Q39" s="50">
        <v>-436735.84334248432</v>
      </c>
      <c r="R39" s="51">
        <v>1926930.195409745</v>
      </c>
      <c r="S39" s="51">
        <v>0</v>
      </c>
      <c r="T39" s="51">
        <v>0</v>
      </c>
      <c r="U39" s="51">
        <v>-371386.04025389539</v>
      </c>
    </row>
    <row r="40" spans="2:21" x14ac:dyDescent="0.25">
      <c r="B40" s="33">
        <v>28</v>
      </c>
      <c r="C40" s="34">
        <f t="shared" si="1"/>
        <v>45655</v>
      </c>
      <c r="D40" s="29">
        <v>45657</v>
      </c>
      <c r="E40" s="35">
        <f t="shared" si="2"/>
        <v>1.014939432684665</v>
      </c>
      <c r="F40" s="35">
        <f t="shared" si="9"/>
        <v>-0.63304825096184369</v>
      </c>
      <c r="G40" s="35">
        <f t="shared" si="0"/>
        <v>0.92194101766400238</v>
      </c>
      <c r="H40" s="35">
        <f t="shared" si="8"/>
        <v>3.4695930780582014</v>
      </c>
      <c r="I40" s="35">
        <f t="shared" si="10"/>
        <v>9.3874119136687142</v>
      </c>
      <c r="J40" s="35">
        <f t="shared" si="4"/>
        <v>8.7087898813627458</v>
      </c>
      <c r="K40" s="35">
        <f t="shared" si="11"/>
        <v>123.79942027828909</v>
      </c>
      <c r="L40" s="32">
        <f t="shared" si="3"/>
        <v>159.14286109215635</v>
      </c>
      <c r="N40" s="50">
        <v>1873568.597179716</v>
      </c>
      <c r="O40" s="50">
        <v>0</v>
      </c>
      <c r="P40" s="50">
        <v>0</v>
      </c>
      <c r="Q40" s="50">
        <v>-470482.48423498846</v>
      </c>
      <c r="R40" s="51">
        <v>1896130.3167753352</v>
      </c>
      <c r="S40" s="51">
        <v>0</v>
      </c>
      <c r="T40" s="51">
        <v>0</v>
      </c>
      <c r="U40" s="51">
        <v>-411766.64974401816</v>
      </c>
    </row>
    <row r="41" spans="2:21" x14ac:dyDescent="0.25">
      <c r="B41" s="33">
        <v>29</v>
      </c>
      <c r="C41" s="34">
        <f t="shared" si="1"/>
        <v>45686</v>
      </c>
      <c r="D41" s="29">
        <v>45688</v>
      </c>
      <c r="E41" s="35">
        <f t="shared" si="2"/>
        <v>1.0155763812708074</v>
      </c>
      <c r="F41" s="35">
        <f t="shared" si="9"/>
        <v>-0.63674433906366257</v>
      </c>
      <c r="G41" s="35">
        <f t="shared" si="0"/>
        <v>0.91962229039174281</v>
      </c>
      <c r="H41" s="35">
        <f t="shared" si="8"/>
        <v>3.4519379473942298</v>
      </c>
      <c r="I41" s="35">
        <f t="shared" si="10"/>
        <v>9.3627764973967942</v>
      </c>
      <c r="J41" s="35">
        <f t="shared" si="4"/>
        <v>8.6574458866255455</v>
      </c>
      <c r="K41" s="35">
        <f t="shared" si="11"/>
        <v>125.33207602853801</v>
      </c>
      <c r="L41" s="32">
        <f t="shared" si="3"/>
        <v>161.90951311157335</v>
      </c>
      <c r="N41" s="50">
        <v>1849631.9126815002</v>
      </c>
      <c r="O41" s="50">
        <v>0</v>
      </c>
      <c r="P41" s="50">
        <v>0</v>
      </c>
      <c r="Q41" s="50">
        <v>-505247.26110801584</v>
      </c>
      <c r="R41" s="51">
        <v>1895899.229936084</v>
      </c>
      <c r="S41" s="51">
        <v>0</v>
      </c>
      <c r="T41" s="51">
        <v>0</v>
      </c>
      <c r="U41" s="51">
        <v>-469385.11012177391</v>
      </c>
    </row>
    <row r="42" spans="2:21" x14ac:dyDescent="0.25">
      <c r="B42" s="33">
        <v>30</v>
      </c>
      <c r="C42" s="34">
        <f t="shared" si="1"/>
        <v>45714</v>
      </c>
      <c r="D42" s="29">
        <v>45716</v>
      </c>
      <c r="E42" s="35">
        <f t="shared" si="2"/>
        <v>1.0161575167398444</v>
      </c>
      <c r="F42" s="35">
        <f t="shared" si="9"/>
        <v>-0.64008274122014397</v>
      </c>
      <c r="G42" s="35">
        <f t="shared" si="0"/>
        <v>0.91755662019877549</v>
      </c>
      <c r="H42" s="35">
        <f t="shared" si="8"/>
        <v>3.4359913777622548</v>
      </c>
      <c r="I42" s="35">
        <f t="shared" si="10"/>
        <v>9.3405251536673166</v>
      </c>
      <c r="J42" s="35">
        <f t="shared" si="4"/>
        <v>8.6084966894762118</v>
      </c>
      <c r="K42" s="35">
        <f t="shared" si="11"/>
        <v>126.7164102545693</v>
      </c>
      <c r="L42" s="32">
        <f t="shared" si="3"/>
        <v>164.53853908112211</v>
      </c>
      <c r="N42" s="50">
        <v>1828560.7332108123</v>
      </c>
      <c r="O42" s="50">
        <v>0</v>
      </c>
      <c r="P42" s="50">
        <v>0</v>
      </c>
      <c r="Q42" s="50">
        <v>-537455.51044178416</v>
      </c>
      <c r="R42" s="51">
        <v>1880741.3130866739</v>
      </c>
      <c r="S42" s="51">
        <v>0</v>
      </c>
      <c r="T42" s="51">
        <v>0</v>
      </c>
      <c r="U42" s="51">
        <v>-535268.05404289032</v>
      </c>
    </row>
    <row r="43" spans="2:21" x14ac:dyDescent="0.25">
      <c r="B43" s="33">
        <v>31</v>
      </c>
      <c r="C43" s="34">
        <f t="shared" si="1"/>
        <v>45745</v>
      </c>
      <c r="D43" s="29">
        <v>45747</v>
      </c>
      <c r="E43" s="35">
        <f t="shared" si="2"/>
        <v>1.0168073795185457</v>
      </c>
      <c r="F43" s="35">
        <f t="shared" si="9"/>
        <v>-0.64377882932196284</v>
      </c>
      <c r="G43" s="35">
        <f t="shared" si="0"/>
        <v>0.91530116092909819</v>
      </c>
      <c r="H43" s="35">
        <f t="shared" si="8"/>
        <v>3.4183362470982832</v>
      </c>
      <c r="I43" s="35">
        <f t="shared" si="10"/>
        <v>9.3158897373953966</v>
      </c>
      <c r="J43" s="35">
        <f t="shared" si="4"/>
        <v>8.5594634568244494</v>
      </c>
      <c r="K43" s="35">
        <f t="shared" si="11"/>
        <v>128.24906600481822</v>
      </c>
      <c r="L43" s="32">
        <f t="shared" si="3"/>
        <v>167.16504066896107</v>
      </c>
      <c r="N43" s="50">
        <v>1805815.2805930784</v>
      </c>
      <c r="O43" s="50">
        <v>0</v>
      </c>
      <c r="P43" s="50">
        <v>0</v>
      </c>
      <c r="Q43" s="50">
        <v>-573937.01590741356</v>
      </c>
      <c r="R43" s="51">
        <v>1805172.9493347383</v>
      </c>
      <c r="S43" s="51">
        <v>0</v>
      </c>
      <c r="T43" s="51">
        <v>0</v>
      </c>
      <c r="U43" s="51">
        <v>-551996.4743665288</v>
      </c>
    </row>
    <row r="44" spans="2:21" x14ac:dyDescent="0.25">
      <c r="B44" s="33">
        <v>32</v>
      </c>
      <c r="C44" s="34">
        <f t="shared" si="1"/>
        <v>45775</v>
      </c>
      <c r="D44" s="29">
        <v>45777</v>
      </c>
      <c r="E44" s="35">
        <f t="shared" si="2"/>
        <v>1.0174427567074316</v>
      </c>
      <c r="F44" s="35">
        <f t="shared" si="9"/>
        <v>-0.64735568877533589</v>
      </c>
      <c r="G44" s="35">
        <f t="shared" ref="G44:G75" si="12">EXP(-H44/100*(D44-$C$12)/365)</f>
        <v>0.91314981108305182</v>
      </c>
      <c r="H44" s="35">
        <f t="shared" si="8"/>
        <v>3.4012506367783106</v>
      </c>
      <c r="I44" s="35">
        <f t="shared" si="10"/>
        <v>9.2920490119709545</v>
      </c>
      <c r="J44" s="35">
        <f t="shared" si="4"/>
        <v>8.5086724620993088</v>
      </c>
      <c r="K44" s="35">
        <f t="shared" si="11"/>
        <v>129.73228124699457</v>
      </c>
      <c r="L44" s="32">
        <f t="shared" si="3"/>
        <v>169.87693820139467</v>
      </c>
      <c r="N44" s="50">
        <v>1784364.1409739899</v>
      </c>
      <c r="O44" s="50">
        <v>0</v>
      </c>
      <c r="P44" s="50">
        <v>0</v>
      </c>
      <c r="Q44" s="50">
        <v>-609996.05994994135</v>
      </c>
      <c r="R44" s="51">
        <v>1755959.8522498924</v>
      </c>
      <c r="S44" s="51">
        <v>0</v>
      </c>
      <c r="T44" s="51">
        <v>0</v>
      </c>
      <c r="U44" s="51">
        <v>-580163.79193947988</v>
      </c>
    </row>
    <row r="45" spans="2:21" x14ac:dyDescent="0.25">
      <c r="B45" s="33">
        <v>33</v>
      </c>
      <c r="C45" s="34">
        <f t="shared" si="1"/>
        <v>45806</v>
      </c>
      <c r="D45" s="29">
        <v>45808</v>
      </c>
      <c r="E45" s="35">
        <f t="shared" si="2"/>
        <v>1.0181060190879319</v>
      </c>
      <c r="F45" s="35">
        <f t="shared" si="9"/>
        <v>-0.65105177687715476</v>
      </c>
      <c r="G45" s="35">
        <f t="shared" si="12"/>
        <v>0.91095893987681231</v>
      </c>
      <c r="H45" s="35">
        <f t="shared" si="8"/>
        <v>3.3835955061143386</v>
      </c>
      <c r="I45" s="35">
        <f t="shared" si="10"/>
        <v>9.2674135956990344</v>
      </c>
      <c r="J45" s="35">
        <f t="shared" si="4"/>
        <v>8.4577859769628994</v>
      </c>
      <c r="K45" s="35">
        <f t="shared" si="11"/>
        <v>131.2649369972435</v>
      </c>
      <c r="L45" s="32">
        <f t="shared" si="3"/>
        <v>172.58596470561454</v>
      </c>
      <c r="N45" s="50">
        <v>1762753.8008696875</v>
      </c>
      <c r="O45" s="50">
        <v>0</v>
      </c>
      <c r="P45" s="50">
        <v>0</v>
      </c>
      <c r="Q45" s="50">
        <v>-647966.59186284849</v>
      </c>
      <c r="R45" s="51">
        <v>1778509.3583146087</v>
      </c>
      <c r="S45" s="51">
        <v>0</v>
      </c>
      <c r="T45" s="51">
        <v>0</v>
      </c>
      <c r="U45" s="51">
        <v>-614664.74050383747</v>
      </c>
    </row>
    <row r="46" spans="2:21" x14ac:dyDescent="0.25">
      <c r="B46" s="33">
        <v>34</v>
      </c>
      <c r="C46" s="34">
        <f t="shared" si="1"/>
        <v>45836</v>
      </c>
      <c r="D46" s="29">
        <v>45838</v>
      </c>
      <c r="E46" s="35">
        <f t="shared" si="2"/>
        <v>1.018754387439873</v>
      </c>
      <c r="F46" s="35">
        <f t="shared" si="9"/>
        <v>-0.65462863633052781</v>
      </c>
      <c r="G46" s="35">
        <f t="shared" si="12"/>
        <v>0.90886969842039422</v>
      </c>
      <c r="H46" s="35">
        <f t="shared" si="8"/>
        <v>3.3665098957943655</v>
      </c>
      <c r="I46" s="35">
        <f t="shared" si="10"/>
        <v>9.2435728702745941</v>
      </c>
      <c r="J46" s="35">
        <f t="shared" si="4"/>
        <v>8.4067999761875267</v>
      </c>
      <c r="K46" s="35">
        <f t="shared" si="11"/>
        <v>132.74815223941985</v>
      </c>
      <c r="L46" s="32">
        <f t="shared" si="3"/>
        <v>175.29182798328566</v>
      </c>
      <c r="N46" s="50">
        <v>1742357.1815931862</v>
      </c>
      <c r="O46" s="50">
        <v>0</v>
      </c>
      <c r="P46" s="50">
        <v>0</v>
      </c>
      <c r="Q46" s="50">
        <v>-685335.06428541371</v>
      </c>
      <c r="R46" s="51">
        <v>1699564.7845204873</v>
      </c>
      <c r="S46" s="51">
        <v>0</v>
      </c>
      <c r="T46" s="51">
        <v>0</v>
      </c>
      <c r="U46" s="51">
        <v>-643971.69272963237</v>
      </c>
    </row>
    <row r="47" spans="2:21" x14ac:dyDescent="0.25">
      <c r="B47" s="33">
        <v>35</v>
      </c>
      <c r="C47" s="34">
        <f t="shared" si="1"/>
        <v>45867</v>
      </c>
      <c r="D47" s="29">
        <v>45869</v>
      </c>
      <c r="E47" s="35">
        <f t="shared" si="2"/>
        <v>1.019431098884257</v>
      </c>
      <c r="F47" s="35">
        <f t="shared" si="9"/>
        <v>-0.65832472443234669</v>
      </c>
      <c r="G47" s="35">
        <f t="shared" si="12"/>
        <v>0.90674260307429966</v>
      </c>
      <c r="H47" s="35">
        <f t="shared" si="8"/>
        <v>3.348854765130393</v>
      </c>
      <c r="I47" s="35">
        <f t="shared" si="10"/>
        <v>9.2189374540026723</v>
      </c>
      <c r="J47" s="35">
        <f t="shared" si="4"/>
        <v>8.3557149432821429</v>
      </c>
      <c r="K47" s="35">
        <f t="shared" si="11"/>
        <v>134.28080798966877</v>
      </c>
      <c r="L47" s="32">
        <f t="shared" si="3"/>
        <v>177.99509114561988</v>
      </c>
      <c r="N47" s="50">
        <v>1721793.4035423729</v>
      </c>
      <c r="O47" s="50">
        <v>0</v>
      </c>
      <c r="P47" s="50">
        <v>0</v>
      </c>
      <c r="Q47" s="50">
        <v>-724529.36022123299</v>
      </c>
      <c r="R47" s="51">
        <v>1692192.5835708969</v>
      </c>
      <c r="S47" s="51">
        <v>0</v>
      </c>
      <c r="T47" s="51">
        <v>0</v>
      </c>
      <c r="U47" s="51">
        <v>-687102.75554023986</v>
      </c>
    </row>
    <row r="48" spans="2:21" x14ac:dyDescent="0.25">
      <c r="B48" s="33">
        <v>36</v>
      </c>
      <c r="C48" s="34">
        <f t="shared" si="1"/>
        <v>45896</v>
      </c>
      <c r="D48" s="29">
        <v>45898</v>
      </c>
      <c r="E48" s="35">
        <f t="shared" si="2"/>
        <v>1.0200703562984204</v>
      </c>
      <c r="F48" s="35">
        <f>Rates!N23</f>
        <v>-0.66178235523727402</v>
      </c>
      <c r="G48" s="35">
        <f t="shared" si="12"/>
        <v>0.90478181096634136</v>
      </c>
      <c r="H48" s="35">
        <f>Rates!G23</f>
        <v>3.3323386751544199</v>
      </c>
      <c r="I48" s="35">
        <f t="shared" si="10"/>
        <v>9.1958914194257151</v>
      </c>
      <c r="J48" s="35">
        <f t="shared" si="4"/>
        <v>8.3053661446430365</v>
      </c>
      <c r="K48" s="35">
        <f t="shared" si="11"/>
        <v>135.71458272377259</v>
      </c>
      <c r="L48" s="32">
        <f t="shared" si="3"/>
        <v>180.65110949596558</v>
      </c>
      <c r="N48" s="50">
        <v>1703010.0824925294</v>
      </c>
      <c r="O48" s="50">
        <v>0</v>
      </c>
      <c r="P48" s="50">
        <v>0</v>
      </c>
      <c r="Q48" s="50">
        <v>-761674.81881304085</v>
      </c>
      <c r="R48" s="51">
        <v>1655011.3774578648</v>
      </c>
      <c r="S48" s="51">
        <v>0</v>
      </c>
      <c r="T48" s="51">
        <v>0</v>
      </c>
      <c r="U48" s="51">
        <v>-706458.25163991749</v>
      </c>
    </row>
    <row r="49" spans="2:21" x14ac:dyDescent="0.25">
      <c r="B49" s="33">
        <v>37</v>
      </c>
      <c r="C49" s="34">
        <f t="shared" si="1"/>
        <v>45928</v>
      </c>
      <c r="D49" s="29">
        <v>45930</v>
      </c>
      <c r="E49" s="35">
        <f t="shared" si="2"/>
        <v>1.0205686002992234</v>
      </c>
      <c r="F49" s="35">
        <f>($F$48*($D$60-D49)+$F$60*(D49-$D$48))/($D$60-$D$48)</f>
        <v>-0.6588095733036623</v>
      </c>
      <c r="G49" s="35">
        <f t="shared" si="12"/>
        <v>0.90251639763887859</v>
      </c>
      <c r="H49" s="35">
        <f t="shared" ref="H49:H59" si="13">($H$48*($D$60-D49)+$H$60*(D49-$D$48))/($D$60-$D$48)</f>
        <v>3.3189249318342493</v>
      </c>
      <c r="I49" s="35">
        <f t="shared" si="10"/>
        <v>9.1704613123063119</v>
      </c>
      <c r="J49" s="35">
        <f t="shared" ref="J49:J80" si="14">MAX((I49^2*(C49-$C$12)-I48^2*(C48-$C$12))/(C49-C48),1)^0.5</f>
        <v>8.2540780500149378</v>
      </c>
      <c r="K49" s="35">
        <f t="shared" si="11"/>
        <v>137.29667898209405</v>
      </c>
      <c r="L49" s="32">
        <f t="shared" si="3"/>
        <v>183.34936106699107</v>
      </c>
      <c r="N49" s="50">
        <v>1683015.5452689731</v>
      </c>
      <c r="O49" s="50">
        <v>0</v>
      </c>
      <c r="P49" s="50">
        <v>0</v>
      </c>
      <c r="Q49" s="50">
        <v>-802578.69870733237</v>
      </c>
      <c r="R49" s="51">
        <v>1701361.8233531197</v>
      </c>
      <c r="S49" s="51">
        <v>0</v>
      </c>
      <c r="T49" s="51">
        <v>0</v>
      </c>
      <c r="U49" s="51">
        <v>-736837.07225693972</v>
      </c>
    </row>
    <row r="50" spans="2:21" x14ac:dyDescent="0.25">
      <c r="B50" s="33">
        <v>38</v>
      </c>
      <c r="C50" s="34">
        <f t="shared" si="1"/>
        <v>45959</v>
      </c>
      <c r="D50" s="29">
        <v>45961</v>
      </c>
      <c r="E50" s="35">
        <f t="shared" si="2"/>
        <v>1.0210464308623499</v>
      </c>
      <c r="F50" s="35">
        <f t="shared" ref="F50:F59" si="15">($F$48*($D$60-D50)+$F$60*(D50-$D$48))/($D$60-$D$48)</f>
        <v>-0.65592969080547592</v>
      </c>
      <c r="G50" s="35">
        <f t="shared" si="12"/>
        <v>0.90034738133899128</v>
      </c>
      <c r="H50" s="35">
        <f t="shared" si="13"/>
        <v>3.305930367992834</v>
      </c>
      <c r="I50" s="35">
        <f t="shared" si="10"/>
        <v>9.1458258960343901</v>
      </c>
      <c r="J50" s="35">
        <f t="shared" si="14"/>
        <v>8.2009948484877349</v>
      </c>
      <c r="K50" s="35">
        <f t="shared" si="11"/>
        <v>138.829334732343</v>
      </c>
      <c r="L50" s="32">
        <f t="shared" si="3"/>
        <v>186.13307794152263</v>
      </c>
      <c r="N50" s="50">
        <v>1664124.2652105489</v>
      </c>
      <c r="O50" s="50">
        <v>0</v>
      </c>
      <c r="P50" s="50">
        <v>0</v>
      </c>
      <c r="Q50" s="50">
        <v>-842552.03036017949</v>
      </c>
      <c r="R50" s="51">
        <v>1731393.1881983241</v>
      </c>
      <c r="S50" s="51">
        <v>0</v>
      </c>
      <c r="T50" s="51">
        <v>0</v>
      </c>
      <c r="U50" s="51">
        <v>-777041.28468745132</v>
      </c>
    </row>
    <row r="51" spans="2:21" x14ac:dyDescent="0.25">
      <c r="B51" s="33">
        <v>39</v>
      </c>
      <c r="C51" s="34">
        <f t="shared" si="1"/>
        <v>45989</v>
      </c>
      <c r="D51" s="29">
        <v>45991</v>
      </c>
      <c r="E51" s="35">
        <f t="shared" si="2"/>
        <v>1.0215043026775765</v>
      </c>
      <c r="F51" s="35">
        <f t="shared" si="15"/>
        <v>-0.65314270774271488</v>
      </c>
      <c r="G51" s="35">
        <f t="shared" si="12"/>
        <v>0.89827217495418743</v>
      </c>
      <c r="H51" s="35">
        <f t="shared" si="13"/>
        <v>3.2933549836301736</v>
      </c>
      <c r="I51" s="35">
        <f t="shared" si="10"/>
        <v>9.1219851706099497</v>
      </c>
      <c r="J51" s="35">
        <f t="shared" si="14"/>
        <v>8.1494871630129175</v>
      </c>
      <c r="K51" s="35">
        <f t="shared" si="11"/>
        <v>140.31254997451936</v>
      </c>
      <c r="L51" s="32">
        <f t="shared" si="3"/>
        <v>188.82603684728434</v>
      </c>
      <c r="N51" s="50">
        <v>1646273.6824991235</v>
      </c>
      <c r="O51" s="50">
        <v>0</v>
      </c>
      <c r="P51" s="50">
        <v>0</v>
      </c>
      <c r="Q51" s="50">
        <v>-881509.67041439482</v>
      </c>
      <c r="R51" s="51">
        <v>1658428.0034771292</v>
      </c>
      <c r="S51" s="51">
        <v>0</v>
      </c>
      <c r="T51" s="51">
        <v>0</v>
      </c>
      <c r="U51" s="51">
        <v>-834766.67828262458</v>
      </c>
    </row>
    <row r="52" spans="2:21" x14ac:dyDescent="0.25">
      <c r="B52" s="33">
        <v>40</v>
      </c>
      <c r="C52" s="34">
        <f t="shared" si="1"/>
        <v>46020</v>
      </c>
      <c r="D52" s="29">
        <v>46022</v>
      </c>
      <c r="E52" s="35">
        <f t="shared" si="2"/>
        <v>1.0219727338733726</v>
      </c>
      <c r="F52" s="35">
        <f t="shared" si="15"/>
        <v>-0.65026282524452839</v>
      </c>
      <c r="G52" s="35">
        <f t="shared" si="12"/>
        <v>0.89615228131779434</v>
      </c>
      <c r="H52" s="35">
        <f t="shared" si="13"/>
        <v>3.2803604197887579</v>
      </c>
      <c r="I52" s="35">
        <f t="shared" si="10"/>
        <v>9.0973497543380297</v>
      </c>
      <c r="J52" s="35">
        <f t="shared" si="14"/>
        <v>8.0978706893570784</v>
      </c>
      <c r="K52" s="35">
        <f t="shared" si="11"/>
        <v>141.84520572476828</v>
      </c>
      <c r="L52" s="32">
        <f t="shared" si="3"/>
        <v>191.51694298098363</v>
      </c>
      <c r="N52" s="50">
        <v>1628257.3125104473</v>
      </c>
      <c r="O52" s="50">
        <v>0</v>
      </c>
      <c r="P52" s="50">
        <v>0</v>
      </c>
      <c r="Q52" s="50">
        <v>-921998.7804584374</v>
      </c>
      <c r="R52" s="51">
        <v>1578452.4488240962</v>
      </c>
      <c r="S52" s="51">
        <v>0</v>
      </c>
      <c r="T52" s="51">
        <v>0</v>
      </c>
      <c r="U52" s="51">
        <v>-875987.40163728152</v>
      </c>
    </row>
    <row r="53" spans="2:21" x14ac:dyDescent="0.25">
      <c r="B53" s="33">
        <v>41</v>
      </c>
      <c r="C53" s="34">
        <f t="shared" si="1"/>
        <v>46051</v>
      </c>
      <c r="D53" s="29">
        <v>46053</v>
      </c>
      <c r="E53" s="35">
        <f t="shared" si="2"/>
        <v>1.0224363782546977</v>
      </c>
      <c r="F53" s="35">
        <f t="shared" si="15"/>
        <v>-0.647382942746342</v>
      </c>
      <c r="G53" s="35">
        <f t="shared" si="12"/>
        <v>0.89405712483001232</v>
      </c>
      <c r="H53" s="35">
        <f t="shared" si="13"/>
        <v>3.2673658559473422</v>
      </c>
      <c r="I53" s="35">
        <f t="shared" si="10"/>
        <v>9.0727143380661079</v>
      </c>
      <c r="J53" s="35">
        <f t="shared" si="14"/>
        <v>8.0452925736673659</v>
      </c>
      <c r="K53" s="35">
        <f t="shared" si="11"/>
        <v>143.3778614750172</v>
      </c>
      <c r="L53" s="32">
        <f t="shared" si="3"/>
        <v>194.24965253303449</v>
      </c>
      <c r="N53" s="50">
        <v>1610661.3823648447</v>
      </c>
      <c r="O53" s="50">
        <v>0</v>
      </c>
      <c r="P53" s="50">
        <v>0</v>
      </c>
      <c r="Q53" s="50">
        <v>-962676.82028415264</v>
      </c>
      <c r="R53" s="51">
        <v>1541544.8531437956</v>
      </c>
      <c r="S53" s="51">
        <v>0</v>
      </c>
      <c r="T53" s="51">
        <v>0</v>
      </c>
      <c r="U53" s="51">
        <v>-904496.03140879201</v>
      </c>
    </row>
    <row r="54" spans="2:21" x14ac:dyDescent="0.25">
      <c r="B54" s="33">
        <v>42</v>
      </c>
      <c r="C54" s="34">
        <f t="shared" si="1"/>
        <v>46079</v>
      </c>
      <c r="D54" s="29">
        <v>46081</v>
      </c>
      <c r="E54" s="35">
        <f t="shared" si="2"/>
        <v>1.022851033874042</v>
      </c>
      <c r="F54" s="35">
        <f t="shared" si="15"/>
        <v>-0.64478175855443176</v>
      </c>
      <c r="G54" s="35">
        <f t="shared" si="12"/>
        <v>0.89218586253685495</v>
      </c>
      <c r="H54" s="35">
        <f t="shared" si="13"/>
        <v>3.255628830542193</v>
      </c>
      <c r="I54" s="35">
        <f t="shared" si="10"/>
        <v>9.0504629943366304</v>
      </c>
      <c r="J54" s="35">
        <f t="shared" si="14"/>
        <v>7.9951472027307497</v>
      </c>
      <c r="K54" s="35">
        <f t="shared" si="11"/>
        <v>144.76219570104848</v>
      </c>
      <c r="L54" s="32">
        <f t="shared" si="3"/>
        <v>196.8478753807421</v>
      </c>
      <c r="N54" s="50">
        <v>1595117.0419048981</v>
      </c>
      <c r="O54" s="50">
        <v>0</v>
      </c>
      <c r="P54" s="50">
        <v>0</v>
      </c>
      <c r="Q54" s="50">
        <v>-999542.90142189176</v>
      </c>
      <c r="R54" s="51">
        <v>1563694.1211980728</v>
      </c>
      <c r="S54" s="51">
        <v>0</v>
      </c>
      <c r="T54" s="51">
        <v>0</v>
      </c>
      <c r="U54" s="51">
        <v>-953522.43565677991</v>
      </c>
    </row>
    <row r="55" spans="2:21" x14ac:dyDescent="0.25">
      <c r="B55" s="33">
        <v>43</v>
      </c>
      <c r="C55" s="34">
        <f t="shared" si="1"/>
        <v>46110</v>
      </c>
      <c r="D55" s="29">
        <v>46112</v>
      </c>
      <c r="E55" s="35">
        <f t="shared" si="2"/>
        <v>1.0233055493877063</v>
      </c>
      <c r="F55" s="35">
        <f t="shared" si="15"/>
        <v>-0.64190187605624538</v>
      </c>
      <c r="G55" s="35">
        <f t="shared" si="12"/>
        <v>0.89013737305362051</v>
      </c>
      <c r="H55" s="35">
        <f t="shared" si="13"/>
        <v>3.2426342667007768</v>
      </c>
      <c r="I55" s="35">
        <f t="shared" si="10"/>
        <v>9.0258275780647104</v>
      </c>
      <c r="J55" s="35">
        <f t="shared" si="14"/>
        <v>7.9448963765346123</v>
      </c>
      <c r="K55" s="35">
        <f t="shared" si="11"/>
        <v>146.2948514512974</v>
      </c>
      <c r="L55" s="32">
        <f t="shared" si="3"/>
        <v>199.4447897203685</v>
      </c>
      <c r="N55" s="50">
        <v>1578280.1207584296</v>
      </c>
      <c r="O55" s="50">
        <v>0</v>
      </c>
      <c r="P55" s="50">
        <v>0</v>
      </c>
      <c r="Q55" s="50">
        <v>-1040457.646415773</v>
      </c>
      <c r="R55" s="51">
        <v>1538526.680936642</v>
      </c>
      <c r="S55" s="51">
        <v>0</v>
      </c>
      <c r="T55" s="51">
        <v>0</v>
      </c>
      <c r="U55" s="51">
        <v>-1004131.9096962829</v>
      </c>
    </row>
    <row r="56" spans="2:21" x14ac:dyDescent="0.25">
      <c r="B56" s="33">
        <v>44</v>
      </c>
      <c r="C56" s="34">
        <f t="shared" si="1"/>
        <v>46140</v>
      </c>
      <c r="D56" s="29">
        <v>46142</v>
      </c>
      <c r="E56" s="35">
        <f t="shared" si="2"/>
        <v>1.0237408271247965</v>
      </c>
      <c r="F56" s="35">
        <f t="shared" si="15"/>
        <v>-0.63911489299348434</v>
      </c>
      <c r="G56" s="35">
        <f t="shared" si="12"/>
        <v>0.88817810835901934</v>
      </c>
      <c r="H56" s="35">
        <f t="shared" si="13"/>
        <v>3.2300588823381169</v>
      </c>
      <c r="I56" s="35">
        <f t="shared" si="10"/>
        <v>9.00198685264027</v>
      </c>
      <c r="J56" s="35">
        <f t="shared" si="14"/>
        <v>7.8928229497092612</v>
      </c>
      <c r="K56" s="35">
        <f t="shared" si="11"/>
        <v>147.77806669347379</v>
      </c>
      <c r="L56" s="32">
        <f t="shared" si="3"/>
        <v>202.12748140720086</v>
      </c>
      <c r="N56" s="50">
        <v>1562346.9943874667</v>
      </c>
      <c r="O56" s="50">
        <v>0</v>
      </c>
      <c r="P56" s="50">
        <v>0</v>
      </c>
      <c r="Q56" s="50">
        <v>-1080114.8905694291</v>
      </c>
      <c r="R56" s="51">
        <v>1548143.2752025677</v>
      </c>
      <c r="S56" s="51">
        <v>0</v>
      </c>
      <c r="T56" s="51">
        <v>0</v>
      </c>
      <c r="U56" s="51">
        <v>-994221.34464068047</v>
      </c>
    </row>
    <row r="57" spans="2:21" x14ac:dyDescent="0.25">
      <c r="B57" s="33">
        <v>45</v>
      </c>
      <c r="C57" s="34">
        <f t="shared" si="1"/>
        <v>46171</v>
      </c>
      <c r="D57" s="29">
        <v>46173</v>
      </c>
      <c r="E57" s="35">
        <f t="shared" si="2"/>
        <v>1.0241858792610947</v>
      </c>
      <c r="F57" s="35">
        <f t="shared" si="15"/>
        <v>-0.63623501049529785</v>
      </c>
      <c r="G57" s="35">
        <f t="shared" si="12"/>
        <v>0.88617731010464085</v>
      </c>
      <c r="H57" s="35">
        <f t="shared" si="13"/>
        <v>3.2170643184967016</v>
      </c>
      <c r="I57" s="35">
        <f t="shared" si="10"/>
        <v>8.9773514363683482</v>
      </c>
      <c r="J57" s="35">
        <f t="shared" si="14"/>
        <v>7.8406296917586307</v>
      </c>
      <c r="K57" s="35">
        <f t="shared" si="11"/>
        <v>149.31072244372271</v>
      </c>
      <c r="L57" s="32">
        <f t="shared" si="3"/>
        <v>204.80852302405722</v>
      </c>
      <c r="N57" s="50">
        <v>1546242.8768777384</v>
      </c>
      <c r="O57" s="50">
        <v>0</v>
      </c>
      <c r="P57" s="50">
        <v>0</v>
      </c>
      <c r="Q57" s="50">
        <v>-1121121.9330088194</v>
      </c>
      <c r="R57" s="51">
        <v>1513135.6742138497</v>
      </c>
      <c r="S57" s="51">
        <v>0</v>
      </c>
      <c r="T57" s="51">
        <v>0</v>
      </c>
      <c r="U57" s="51">
        <v>-1025907.2211829107</v>
      </c>
    </row>
    <row r="58" spans="2:21" x14ac:dyDescent="0.25">
      <c r="B58" s="33">
        <v>46</v>
      </c>
      <c r="C58" s="34">
        <f t="shared" si="1"/>
        <v>46201</v>
      </c>
      <c r="D58" s="29">
        <v>46203</v>
      </c>
      <c r="E58" s="35">
        <f t="shared" si="2"/>
        <v>1.0246119867488732</v>
      </c>
      <c r="F58" s="35">
        <f t="shared" si="15"/>
        <v>-0.63344802743253681</v>
      </c>
      <c r="G58" s="35">
        <f t="shared" si="12"/>
        <v>0.88426392913069907</v>
      </c>
      <c r="H58" s="35">
        <f t="shared" si="13"/>
        <v>3.2044889341340417</v>
      </c>
      <c r="I58" s="35">
        <f t="shared" si="10"/>
        <v>8.9535107109439096</v>
      </c>
      <c r="J58" s="35">
        <f t="shared" si="14"/>
        <v>7.7883117203805181</v>
      </c>
      <c r="K58" s="35">
        <f t="shared" si="11"/>
        <v>150.79393768589907</v>
      </c>
      <c r="L58" s="32">
        <f t="shared" si="3"/>
        <v>207.48761922158263</v>
      </c>
      <c r="N58" s="50">
        <v>1530995.3399460928</v>
      </c>
      <c r="O58" s="50">
        <v>0</v>
      </c>
      <c r="P58" s="50">
        <v>0</v>
      </c>
      <c r="Q58" s="50">
        <v>-1160800.4330877603</v>
      </c>
      <c r="R58" s="51">
        <v>1452343.036988507</v>
      </c>
      <c r="S58" s="51">
        <v>0</v>
      </c>
      <c r="T58" s="51">
        <v>0</v>
      </c>
      <c r="U58" s="51">
        <v>-1060217.428500168</v>
      </c>
    </row>
    <row r="59" spans="2:21" x14ac:dyDescent="0.25">
      <c r="B59" s="33">
        <v>47</v>
      </c>
      <c r="C59" s="34">
        <f t="shared" si="1"/>
        <v>46232</v>
      </c>
      <c r="D59" s="29">
        <v>46234</v>
      </c>
      <c r="E59" s="35">
        <f t="shared" si="2"/>
        <v>1.0250475505439429</v>
      </c>
      <c r="F59" s="35">
        <f t="shared" si="15"/>
        <v>-0.63056814493435043</v>
      </c>
      <c r="G59" s="35">
        <f t="shared" si="12"/>
        <v>0.88231026967557935</v>
      </c>
      <c r="H59" s="35">
        <f t="shared" si="13"/>
        <v>3.1914943702926264</v>
      </c>
      <c r="I59" s="35">
        <f t="shared" si="10"/>
        <v>8.9288752946719878</v>
      </c>
      <c r="J59" s="35">
        <f t="shared" si="14"/>
        <v>7.7358689951798691</v>
      </c>
      <c r="K59" s="35">
        <f t="shared" si="11"/>
        <v>152.32659343614799</v>
      </c>
      <c r="L59" s="32">
        <f t="shared" si="3"/>
        <v>210.16519913403192</v>
      </c>
      <c r="N59" s="50">
        <v>1515576.5969266328</v>
      </c>
      <c r="O59" s="50">
        <v>0</v>
      </c>
      <c r="P59" s="50">
        <v>0</v>
      </c>
      <c r="Q59" s="50">
        <v>-1201763.6383159126</v>
      </c>
      <c r="R59" s="51">
        <v>1441817.9683555875</v>
      </c>
      <c r="S59" s="51">
        <v>0</v>
      </c>
      <c r="T59" s="51">
        <v>0</v>
      </c>
      <c r="U59" s="51">
        <v>-1101067.0743826926</v>
      </c>
    </row>
    <row r="60" spans="2:21" x14ac:dyDescent="0.25">
      <c r="B60" s="33">
        <v>48</v>
      </c>
      <c r="C60" s="34">
        <f t="shared" si="1"/>
        <v>46263</v>
      </c>
      <c r="D60" s="29">
        <v>46265</v>
      </c>
      <c r="E60" s="35">
        <f t="shared" si="2"/>
        <v>1.0254782829941653</v>
      </c>
      <c r="F60" s="35">
        <f>Rates!N24</f>
        <v>-0.62768826243616405</v>
      </c>
      <c r="G60" s="35">
        <f t="shared" si="12"/>
        <v>0.88038035894616262</v>
      </c>
      <c r="H60" s="35">
        <f>Rates!G24</f>
        <v>3.1784998064512102</v>
      </c>
      <c r="I60" s="35">
        <f t="shared" si="10"/>
        <v>8.904239878400066</v>
      </c>
      <c r="J60" s="35">
        <f t="shared" si="14"/>
        <v>7.6824341608384072</v>
      </c>
      <c r="K60" s="35">
        <f t="shared" si="11"/>
        <v>153.85924918639691</v>
      </c>
      <c r="L60" s="32">
        <f t="shared" si="3"/>
        <v>212.88491055579539</v>
      </c>
      <c r="N60" s="50">
        <v>1500489.5653616604</v>
      </c>
      <c r="O60" s="50">
        <v>0</v>
      </c>
      <c r="P60" s="50">
        <v>0</v>
      </c>
      <c r="Q60" s="50">
        <v>-1242657.9294188588</v>
      </c>
      <c r="R60" s="51">
        <v>1436264.3037484514</v>
      </c>
      <c r="S60" s="51">
        <v>0</v>
      </c>
      <c r="T60" s="51">
        <v>0</v>
      </c>
      <c r="U60" s="51">
        <v>-1147452.0842358884</v>
      </c>
    </row>
    <row r="61" spans="2:21" x14ac:dyDescent="0.25">
      <c r="B61" s="33">
        <v>49</v>
      </c>
      <c r="C61" s="34">
        <f t="shared" si="1"/>
        <v>46293</v>
      </c>
      <c r="D61" s="29">
        <v>46295</v>
      </c>
      <c r="E61" s="35">
        <f t="shared" si="2"/>
        <v>1.0264705185087715</v>
      </c>
      <c r="F61" s="35">
        <f>($F$60*($D$72-D61)+$F$72*(D61-$D$60))/($D$72-$D$60)</f>
        <v>-0.63871911468768305</v>
      </c>
      <c r="G61" s="35">
        <f t="shared" si="12"/>
        <v>0.87842718978902434</v>
      </c>
      <c r="H61" s="35">
        <f t="shared" ref="H61:H71" si="16">($H$60*($D$72-D61)+$H$72*(D61-$D$60))/($D$72-$D$60)</f>
        <v>3.1689298762673146</v>
      </c>
      <c r="I61" s="35">
        <f t="shared" si="10"/>
        <v>8.8803991529756274</v>
      </c>
      <c r="J61" s="35">
        <f t="shared" si="14"/>
        <v>7.6297282143518803</v>
      </c>
      <c r="K61" s="35">
        <f t="shared" si="11"/>
        <v>155.34246442857327</v>
      </c>
      <c r="L61" s="32">
        <f t="shared" si="3"/>
        <v>215.55908581843141</v>
      </c>
      <c r="N61" s="50">
        <v>1481149.7832207233</v>
      </c>
      <c r="O61" s="50">
        <v>0</v>
      </c>
      <c r="P61" s="50">
        <v>0</v>
      </c>
      <c r="Q61" s="50">
        <v>-1288990.4149873387</v>
      </c>
      <c r="R61" s="51">
        <v>1457945.3047511112</v>
      </c>
      <c r="S61" s="51">
        <v>0</v>
      </c>
      <c r="T61" s="51">
        <v>0</v>
      </c>
      <c r="U61" s="51">
        <v>-1202963.1752406622</v>
      </c>
    </row>
    <row r="62" spans="2:21" x14ac:dyDescent="0.25">
      <c r="B62" s="33">
        <v>50</v>
      </c>
      <c r="C62" s="34">
        <f t="shared" si="1"/>
        <v>46324</v>
      </c>
      <c r="D62" s="29">
        <v>46326</v>
      </c>
      <c r="E62" s="35">
        <f t="shared" si="2"/>
        <v>1.0275164107766011</v>
      </c>
      <c r="F62" s="35">
        <f t="shared" ref="F62:F71" si="17">($F$60*($D$72-D62)+$F$72*(D62-$D$60))/($D$72-$D$60)</f>
        <v>-0.65011766201425258</v>
      </c>
      <c r="G62" s="35">
        <f t="shared" si="12"/>
        <v>0.87642795149835551</v>
      </c>
      <c r="H62" s="35">
        <f t="shared" si="16"/>
        <v>3.1590409484106221</v>
      </c>
      <c r="I62" s="35">
        <f t="shared" si="10"/>
        <v>8.8557637367037056</v>
      </c>
      <c r="J62" s="35">
        <f t="shared" si="14"/>
        <v>7.5768895188182359</v>
      </c>
      <c r="K62" s="35">
        <f t="shared" si="11"/>
        <v>156.87512017882216</v>
      </c>
      <c r="L62" s="32">
        <f t="shared" si="3"/>
        <v>218.23192155427049</v>
      </c>
      <c r="N62" s="50">
        <v>1461377.6060384363</v>
      </c>
      <c r="O62" s="50">
        <v>0</v>
      </c>
      <c r="P62" s="50">
        <v>0</v>
      </c>
      <c r="Q62" s="50">
        <v>-1337362.0732678873</v>
      </c>
      <c r="R62" s="51">
        <v>1427957.2188713597</v>
      </c>
      <c r="S62" s="51">
        <v>0</v>
      </c>
      <c r="T62" s="51">
        <v>0</v>
      </c>
      <c r="U62" s="51">
        <v>-1265345.517998944</v>
      </c>
    </row>
    <row r="63" spans="2:21" x14ac:dyDescent="0.25">
      <c r="B63" s="33">
        <v>51</v>
      </c>
      <c r="C63" s="34">
        <f t="shared" si="1"/>
        <v>46354</v>
      </c>
      <c r="D63" s="29">
        <v>46356</v>
      </c>
      <c r="E63" s="35">
        <f t="shared" si="2"/>
        <v>1.0285485404878072</v>
      </c>
      <c r="F63" s="35">
        <f t="shared" si="17"/>
        <v>-0.6611485142657717</v>
      </c>
      <c r="G63" s="35">
        <f t="shared" si="12"/>
        <v>0.87451152365670537</v>
      </c>
      <c r="H63" s="35">
        <f t="shared" si="16"/>
        <v>3.1494710182267265</v>
      </c>
      <c r="I63" s="35">
        <f t="shared" si="10"/>
        <v>8.8319230112792653</v>
      </c>
      <c r="J63" s="35">
        <f t="shared" si="14"/>
        <v>7.5239127173683009</v>
      </c>
      <c r="K63" s="35">
        <f t="shared" si="11"/>
        <v>158.35833542099854</v>
      </c>
      <c r="L63" s="32">
        <f t="shared" si="3"/>
        <v>220.90312889438113</v>
      </c>
      <c r="N63" s="50">
        <v>1442444.1569017095</v>
      </c>
      <c r="O63" s="50">
        <v>0</v>
      </c>
      <c r="P63" s="50">
        <v>0</v>
      </c>
      <c r="Q63" s="50">
        <v>-1384639.6065143889</v>
      </c>
      <c r="R63" s="51">
        <v>1372777.7501237255</v>
      </c>
      <c r="S63" s="51">
        <v>0</v>
      </c>
      <c r="T63" s="51">
        <v>0</v>
      </c>
      <c r="U63" s="51">
        <v>-1304499.7233239166</v>
      </c>
    </row>
    <row r="64" spans="2:21" x14ac:dyDescent="0.25">
      <c r="B64" s="33">
        <v>52</v>
      </c>
      <c r="C64" s="34">
        <f t="shared" si="1"/>
        <v>46385</v>
      </c>
      <c r="D64" s="29">
        <v>46387</v>
      </c>
      <c r="E64" s="35">
        <f t="shared" si="2"/>
        <v>1.0296357777034948</v>
      </c>
      <c r="F64" s="35">
        <f t="shared" si="17"/>
        <v>-0.67254706159234123</v>
      </c>
      <c r="G64" s="35">
        <f t="shared" si="12"/>
        <v>0.87255003741693782</v>
      </c>
      <c r="H64" s="35">
        <f t="shared" si="16"/>
        <v>3.1395820903700349</v>
      </c>
      <c r="I64" s="35">
        <f t="shared" si="10"/>
        <v>8.8072875950073453</v>
      </c>
      <c r="J64" s="35">
        <f t="shared" si="14"/>
        <v>7.4707974502741514</v>
      </c>
      <c r="K64" s="35">
        <f t="shared" si="11"/>
        <v>159.89099117124746</v>
      </c>
      <c r="L64" s="32">
        <f t="shared" si="3"/>
        <v>223.57309966820142</v>
      </c>
      <c r="N64" s="50">
        <v>1423082.8278581831</v>
      </c>
      <c r="O64" s="50">
        <v>0</v>
      </c>
      <c r="P64" s="50">
        <v>0</v>
      </c>
      <c r="Q64" s="50">
        <v>-1433962.9122088877</v>
      </c>
      <c r="R64" s="51">
        <v>1337209.5496609285</v>
      </c>
      <c r="S64" s="51">
        <v>0</v>
      </c>
      <c r="T64" s="51">
        <v>0</v>
      </c>
      <c r="U64" s="51">
        <v>-1379658.7075991547</v>
      </c>
    </row>
    <row r="65" spans="2:21" x14ac:dyDescent="0.25">
      <c r="B65" s="33">
        <v>53</v>
      </c>
      <c r="C65" s="34">
        <f t="shared" si="1"/>
        <v>46416</v>
      </c>
      <c r="D65" s="29">
        <v>46418</v>
      </c>
      <c r="E65" s="35">
        <f t="shared" si="2"/>
        <v>1.0307441211817272</v>
      </c>
      <c r="F65" s="35">
        <f t="shared" si="17"/>
        <v>-0.68394560891891076</v>
      </c>
      <c r="G65" s="35">
        <f t="shared" si="12"/>
        <v>0.87060757471597394</v>
      </c>
      <c r="H65" s="35">
        <f t="shared" si="16"/>
        <v>3.1296931625133424</v>
      </c>
      <c r="I65" s="35">
        <f t="shared" si="10"/>
        <v>8.7826521787354235</v>
      </c>
      <c r="J65" s="35">
        <f t="shared" si="14"/>
        <v>7.4166644962287585</v>
      </c>
      <c r="K65" s="35">
        <f t="shared" si="11"/>
        <v>161.42364692149641</v>
      </c>
      <c r="L65" s="32">
        <f t="shared" si="3"/>
        <v>226.28536589153359</v>
      </c>
      <c r="N65" s="50">
        <v>1403923.9282502274</v>
      </c>
      <c r="O65" s="50">
        <v>0</v>
      </c>
      <c r="P65" s="50">
        <v>0</v>
      </c>
      <c r="Q65" s="50">
        <v>-1483752.767975389</v>
      </c>
      <c r="R65" s="51">
        <v>1299805.4378505254</v>
      </c>
      <c r="S65" s="51">
        <v>0</v>
      </c>
      <c r="T65" s="51">
        <v>0</v>
      </c>
      <c r="U65" s="51">
        <v>-1418193.3928694904</v>
      </c>
    </row>
    <row r="66" spans="2:21" x14ac:dyDescent="0.25">
      <c r="B66" s="33">
        <v>54</v>
      </c>
      <c r="C66" s="34">
        <f t="shared" si="1"/>
        <v>46444</v>
      </c>
      <c r="D66" s="29">
        <v>46446</v>
      </c>
      <c r="E66" s="35">
        <f t="shared" si="2"/>
        <v>1.0317634014881305</v>
      </c>
      <c r="F66" s="35">
        <f t="shared" si="17"/>
        <v>-0.6942410710203285</v>
      </c>
      <c r="G66" s="35">
        <f t="shared" si="12"/>
        <v>0.8688693539423461</v>
      </c>
      <c r="H66" s="35">
        <f t="shared" si="16"/>
        <v>3.1207612276750396</v>
      </c>
      <c r="I66" s="35">
        <f t="shared" si="10"/>
        <v>8.7604008350059459</v>
      </c>
      <c r="J66" s="35">
        <f t="shared" si="14"/>
        <v>7.3650090747802928</v>
      </c>
      <c r="K66" s="35">
        <f t="shared" si="11"/>
        <v>162.80798114752767</v>
      </c>
      <c r="L66" s="32">
        <f t="shared" si="3"/>
        <v>228.86490223526195</v>
      </c>
      <c r="N66" s="50">
        <v>1386789.8700932176</v>
      </c>
      <c r="O66" s="50">
        <v>0</v>
      </c>
      <c r="P66" s="50">
        <v>0</v>
      </c>
      <c r="Q66" s="50">
        <v>-1529116.8746516667</v>
      </c>
      <c r="R66" s="51">
        <v>1284210.3314636264</v>
      </c>
      <c r="S66" s="51">
        <v>0</v>
      </c>
      <c r="T66" s="51">
        <v>0</v>
      </c>
      <c r="U66" s="51">
        <v>-1467049.4533329401</v>
      </c>
    </row>
    <row r="67" spans="2:21" x14ac:dyDescent="0.25">
      <c r="B67" s="33">
        <v>55</v>
      </c>
      <c r="C67" s="34">
        <f t="shared" si="1"/>
        <v>46475</v>
      </c>
      <c r="D67" s="29">
        <v>46477</v>
      </c>
      <c r="E67" s="35">
        <f t="shared" si="2"/>
        <v>1.0329120974414754</v>
      </c>
      <c r="F67" s="35">
        <f t="shared" si="17"/>
        <v>-0.70563961834689815</v>
      </c>
      <c r="G67" s="35">
        <f t="shared" si="12"/>
        <v>0.8669628012286319</v>
      </c>
      <c r="H67" s="35">
        <f t="shared" si="16"/>
        <v>3.110872299818348</v>
      </c>
      <c r="I67" s="35">
        <f t="shared" si="10"/>
        <v>8.7357654187340259</v>
      </c>
      <c r="J67" s="35">
        <f t="shared" si="14"/>
        <v>7.313218069816207</v>
      </c>
      <c r="K67" s="35">
        <f t="shared" si="11"/>
        <v>164.34063689777659</v>
      </c>
      <c r="L67" s="32">
        <f t="shared" si="3"/>
        <v>231.44372902636835</v>
      </c>
      <c r="N67" s="50">
        <v>1368005.7368219204</v>
      </c>
      <c r="O67" s="50">
        <v>0</v>
      </c>
      <c r="P67" s="50">
        <v>0</v>
      </c>
      <c r="Q67" s="50">
        <v>-1579767.7402957738</v>
      </c>
      <c r="R67" s="51">
        <v>1266406.3862378167</v>
      </c>
      <c r="S67" s="51">
        <v>0</v>
      </c>
      <c r="T67" s="51">
        <v>0</v>
      </c>
      <c r="U67" s="51">
        <v>-1514316.6964794316</v>
      </c>
    </row>
    <row r="68" spans="2:21" x14ac:dyDescent="0.25">
      <c r="B68" s="33">
        <v>56</v>
      </c>
      <c r="C68" s="34">
        <f t="shared" si="1"/>
        <v>46505</v>
      </c>
      <c r="D68" s="29">
        <v>46507</v>
      </c>
      <c r="E68" s="35">
        <f t="shared" si="2"/>
        <v>1.0340440188898299</v>
      </c>
      <c r="F68" s="35">
        <f t="shared" si="17"/>
        <v>-0.71667047059841715</v>
      </c>
      <c r="G68" s="35">
        <f t="shared" si="12"/>
        <v>0.86513557009562847</v>
      </c>
      <c r="H68" s="35">
        <f t="shared" si="16"/>
        <v>3.1013023696344519</v>
      </c>
      <c r="I68" s="35">
        <f t="shared" si="10"/>
        <v>8.7119246933095855</v>
      </c>
      <c r="J68" s="35">
        <f t="shared" si="14"/>
        <v>7.2595190957307452</v>
      </c>
      <c r="K68" s="35">
        <f t="shared" si="11"/>
        <v>165.82385213995298</v>
      </c>
      <c r="L68" s="32">
        <f t="shared" si="3"/>
        <v>234.10844833460808</v>
      </c>
      <c r="N68" s="50">
        <v>1350010.2962640147</v>
      </c>
      <c r="O68" s="50">
        <v>0</v>
      </c>
      <c r="P68" s="50">
        <v>0</v>
      </c>
      <c r="Q68" s="50">
        <v>-1629203.8158951104</v>
      </c>
      <c r="R68" s="51">
        <v>1252848.3677671589</v>
      </c>
      <c r="S68" s="51">
        <v>0</v>
      </c>
      <c r="T68" s="51">
        <v>0</v>
      </c>
      <c r="U68" s="51">
        <v>-1520579.1886765596</v>
      </c>
    </row>
    <row r="69" spans="2:21" x14ac:dyDescent="0.25">
      <c r="B69" s="33">
        <v>57</v>
      </c>
      <c r="C69" s="34">
        <f t="shared" si="1"/>
        <v>46536</v>
      </c>
      <c r="D69" s="29">
        <v>46538</v>
      </c>
      <c r="E69" s="35">
        <f t="shared" si="2"/>
        <v>1.0352346948474778</v>
      </c>
      <c r="F69" s="35">
        <f t="shared" si="17"/>
        <v>-0.72806901792498691</v>
      </c>
      <c r="G69" s="35">
        <f t="shared" si="12"/>
        <v>0.86326574379109777</v>
      </c>
      <c r="H69" s="35">
        <f t="shared" si="16"/>
        <v>3.0914134417777599</v>
      </c>
      <c r="I69" s="35">
        <f t="shared" si="10"/>
        <v>8.6872892770376637</v>
      </c>
      <c r="J69" s="35">
        <f t="shared" si="14"/>
        <v>7.2056658701413241</v>
      </c>
      <c r="K69" s="35">
        <f t="shared" si="11"/>
        <v>167.3565078902019</v>
      </c>
      <c r="L69" s="32">
        <f t="shared" si="3"/>
        <v>236.77214622397238</v>
      </c>
      <c r="N69" s="50">
        <v>1331600.809910757</v>
      </c>
      <c r="O69" s="50">
        <v>0</v>
      </c>
      <c r="P69" s="50">
        <v>0</v>
      </c>
      <c r="Q69" s="50">
        <v>-1680713.7308069707</v>
      </c>
      <c r="R69" s="51">
        <v>1216915.3753564772</v>
      </c>
      <c r="S69" s="51">
        <v>0</v>
      </c>
      <c r="T69" s="51">
        <v>0</v>
      </c>
      <c r="U69" s="51">
        <v>-1565517.0230772854</v>
      </c>
    </row>
    <row r="70" spans="2:21" x14ac:dyDescent="0.25">
      <c r="B70" s="33">
        <v>58</v>
      </c>
      <c r="C70" s="34">
        <f t="shared" si="1"/>
        <v>46566</v>
      </c>
      <c r="D70" s="29">
        <v>46568</v>
      </c>
      <c r="E70" s="35">
        <f t="shared" si="2"/>
        <v>1.0364073734150738</v>
      </c>
      <c r="F70" s="35">
        <f t="shared" si="17"/>
        <v>-0.7390998701765058</v>
      </c>
      <c r="G70" s="35">
        <f t="shared" si="12"/>
        <v>0.86147386032790974</v>
      </c>
      <c r="H70" s="35">
        <f t="shared" si="16"/>
        <v>3.0818435115938647</v>
      </c>
      <c r="I70" s="35">
        <f t="shared" si="10"/>
        <v>8.6634485516132251</v>
      </c>
      <c r="J70" s="35">
        <f t="shared" si="14"/>
        <v>7.1516522150939084</v>
      </c>
      <c r="K70" s="35">
        <f t="shared" si="11"/>
        <v>168.83972313237828</v>
      </c>
      <c r="L70" s="32">
        <f t="shared" si="3"/>
        <v>239.43454541281656</v>
      </c>
      <c r="N70" s="50">
        <v>1313962.2852290003</v>
      </c>
      <c r="O70" s="50">
        <v>0</v>
      </c>
      <c r="P70" s="50">
        <v>0</v>
      </c>
      <c r="Q70" s="50">
        <v>-1730968.2271871848</v>
      </c>
      <c r="R70" s="51">
        <v>1195457.184254535</v>
      </c>
      <c r="S70" s="51">
        <v>0</v>
      </c>
      <c r="T70" s="51">
        <v>0</v>
      </c>
      <c r="U70" s="51">
        <v>-1622450.0187094463</v>
      </c>
    </row>
    <row r="71" spans="2:21" x14ac:dyDescent="0.25">
      <c r="B71" s="33">
        <v>59</v>
      </c>
      <c r="C71" s="34">
        <f t="shared" si="1"/>
        <v>46597</v>
      </c>
      <c r="D71" s="29">
        <v>46599</v>
      </c>
      <c r="E71" s="35">
        <f t="shared" si="2"/>
        <v>1.0376403032851209</v>
      </c>
      <c r="F71" s="35">
        <f t="shared" si="17"/>
        <v>-0.75049841750307544</v>
      </c>
      <c r="G71" s="35">
        <f t="shared" si="12"/>
        <v>0.85964036168339897</v>
      </c>
      <c r="H71" s="35">
        <f t="shared" si="16"/>
        <v>3.0719545837371722</v>
      </c>
      <c r="I71" s="35">
        <f>($I$36*($D$72-D71)+$I$72*(D71-$D$36))/($D$72-$D$36)</f>
        <v>8.6388131353413016</v>
      </c>
      <c r="J71" s="35">
        <f t="shared" si="14"/>
        <v>7.0974771817480233</v>
      </c>
      <c r="K71" s="35">
        <f t="shared" si="11"/>
        <v>170.3723788826272</v>
      </c>
      <c r="L71" s="32">
        <f t="shared" si="3"/>
        <v>242.09599669643148</v>
      </c>
      <c r="N71" s="50">
        <v>1295916.2039489981</v>
      </c>
      <c r="O71" s="50">
        <v>0</v>
      </c>
      <c r="P71" s="50">
        <v>0</v>
      </c>
      <c r="Q71" s="50">
        <v>-1783312.0467559972</v>
      </c>
      <c r="R71" s="51">
        <v>1181848.7696563848</v>
      </c>
      <c r="S71" s="51">
        <v>0</v>
      </c>
      <c r="T71" s="51">
        <v>0</v>
      </c>
      <c r="U71" s="51">
        <v>-1675256.0823869968</v>
      </c>
    </row>
    <row r="72" spans="2:21" x14ac:dyDescent="0.25">
      <c r="B72" s="33">
        <v>60</v>
      </c>
      <c r="C72" s="34">
        <f t="shared" si="1"/>
        <v>46628</v>
      </c>
      <c r="D72" s="29">
        <v>46630</v>
      </c>
      <c r="E72" s="35">
        <f t="shared" si="2"/>
        <v>1.0388948146713379</v>
      </c>
      <c r="F72" s="35">
        <f>Rates!N25</f>
        <v>-0.76189696482964497</v>
      </c>
      <c r="G72" s="35">
        <f t="shared" si="12"/>
        <v>0.85782517463438779</v>
      </c>
      <c r="H72" s="35">
        <f>Rates!G25</f>
        <v>3.0620656558804802</v>
      </c>
      <c r="I72" s="31">
        <f>Vols!E11</f>
        <v>8.6141777190693816</v>
      </c>
      <c r="J72" s="35">
        <f t="shared" si="14"/>
        <v>7.0422427310274127</v>
      </c>
      <c r="K72" s="31">
        <f>Vols!G11</f>
        <v>171.9050346328761</v>
      </c>
      <c r="L72" s="32">
        <f t="shared" si="3"/>
        <v>244.79990541814772</v>
      </c>
      <c r="N72" s="50">
        <v>1278051.0104734548</v>
      </c>
      <c r="O72" s="50">
        <v>0</v>
      </c>
      <c r="P72" s="50">
        <v>0</v>
      </c>
      <c r="Q72" s="50">
        <v>-1836071.8969886501</v>
      </c>
      <c r="R72" s="51">
        <v>1168676.4222741693</v>
      </c>
      <c r="S72" s="51">
        <v>0</v>
      </c>
      <c r="T72" s="51">
        <v>0</v>
      </c>
      <c r="U72" s="51">
        <v>-1723303.331136704</v>
      </c>
    </row>
    <row r="73" spans="2:21" x14ac:dyDescent="0.25">
      <c r="B73" s="33">
        <v>61</v>
      </c>
      <c r="C73" s="34">
        <f t="shared" si="1"/>
        <v>46658</v>
      </c>
      <c r="D73" s="29">
        <v>46660</v>
      </c>
      <c r="E73" s="35">
        <f t="shared" si="2"/>
        <v>1.0390624858403652</v>
      </c>
      <c r="F73" s="35">
        <f>($F$72*($D$96-D73)+$F$96*(D73-$D$72))/($D$96-$D$72)</f>
        <v>-0.75276536578627018</v>
      </c>
      <c r="G73" s="35">
        <f t="shared" si="12"/>
        <v>0.85595264697481954</v>
      </c>
      <c r="H73" s="35">
        <f t="shared" ref="H73:H83" si="18">($H$72*($D$84-D73)+$H$84*(D73-$D$72))/($D$84-$D$72)</f>
        <v>3.0555533645692203</v>
      </c>
      <c r="I73" s="35">
        <f>($I$72*($D$96-D73)+$I$96*(D73-$D$72))/($D$96-$D$72)</f>
        <v>8.6155944294691498</v>
      </c>
      <c r="J73" s="35">
        <f t="shared" si="14"/>
        <v>8.7013905900615729</v>
      </c>
      <c r="K73" s="35">
        <f>($K$72*($D$96-D73)+$K$96*(D73-$D$72))/($D$96-$D$72)</f>
        <v>177.35423454987571</v>
      </c>
      <c r="L73" s="32">
        <f t="shared" si="3"/>
        <v>383.79026188946233</v>
      </c>
      <c r="N73" s="50">
        <v>1269309.6753981553</v>
      </c>
      <c r="O73" s="50">
        <v>0</v>
      </c>
      <c r="P73" s="50">
        <v>0</v>
      </c>
      <c r="Q73" s="50">
        <v>-1883954.5919464761</v>
      </c>
      <c r="R73" s="51">
        <v>1141926.7687935615</v>
      </c>
      <c r="S73" s="51">
        <v>0</v>
      </c>
      <c r="T73" s="51">
        <v>0</v>
      </c>
      <c r="U73" s="51">
        <v>-1759838.3342598977</v>
      </c>
    </row>
    <row r="74" spans="2:21" x14ac:dyDescent="0.25">
      <c r="B74" s="33">
        <v>62</v>
      </c>
      <c r="C74" s="34">
        <f t="shared" si="1"/>
        <v>46689</v>
      </c>
      <c r="D74" s="29">
        <v>46691</v>
      </c>
      <c r="E74" s="35">
        <f t="shared" si="2"/>
        <v>1.0392193861397652</v>
      </c>
      <c r="F74" s="35">
        <f t="shared" ref="F74:F95" si="19">($F$72*($D$96-D74)+$F$96*(D74-$D$72))/($D$96-$D$72)</f>
        <v>-0.74332938010811611</v>
      </c>
      <c r="G74" s="35">
        <f t="shared" si="12"/>
        <v>0.85403160044371862</v>
      </c>
      <c r="H74" s="35">
        <f t="shared" si="18"/>
        <v>3.0488239968809183</v>
      </c>
      <c r="I74" s="35">
        <f t="shared" ref="I74:I95" si="20">($I$72*($D$96-D74)+$I$96*(D74-$D$72))/($D$96-$D$72)</f>
        <v>8.6170583635489102</v>
      </c>
      <c r="J74" s="35">
        <f t="shared" si="14"/>
        <v>8.7042568750115858</v>
      </c>
      <c r="K74" s="35">
        <f t="shared" ref="K74:K95" si="21">($K$72*($D$96-D74)+$K$96*(D74-$D$72))/($D$96-$D$72)</f>
        <v>182.98507446410864</v>
      </c>
      <c r="L74" s="32">
        <f t="shared" si="3"/>
        <v>393.65277489692522</v>
      </c>
      <c r="N74" s="50">
        <v>1260410.3299953453</v>
      </c>
      <c r="O74" s="50">
        <v>0</v>
      </c>
      <c r="P74" s="50">
        <v>0</v>
      </c>
      <c r="Q74" s="50">
        <v>-1932863.5297095804</v>
      </c>
      <c r="R74" s="51">
        <v>1127697.7028838573</v>
      </c>
      <c r="S74" s="51">
        <v>0</v>
      </c>
      <c r="T74" s="51">
        <v>0</v>
      </c>
      <c r="U74" s="51">
        <v>-1776706.4696126606</v>
      </c>
    </row>
    <row r="75" spans="2:21" x14ac:dyDescent="0.25">
      <c r="B75" s="33">
        <v>63</v>
      </c>
      <c r="C75" s="34">
        <f t="shared" si="1"/>
        <v>46719</v>
      </c>
      <c r="D75" s="29">
        <v>46721</v>
      </c>
      <c r="E75" s="35">
        <f t="shared" si="2"/>
        <v>1.0393553859440641</v>
      </c>
      <c r="F75" s="35">
        <f t="shared" si="19"/>
        <v>-0.73419778106474132</v>
      </c>
      <c r="G75" s="35">
        <f t="shared" si="12"/>
        <v>0.85218590311659903</v>
      </c>
      <c r="H75" s="35">
        <f t="shared" si="18"/>
        <v>3.0423117055696589</v>
      </c>
      <c r="I75" s="35">
        <f t="shared" si="20"/>
        <v>8.6184750739486766</v>
      </c>
      <c r="J75" s="35">
        <f t="shared" si="14"/>
        <v>8.7071229272770339</v>
      </c>
      <c r="K75" s="35">
        <f t="shared" si="21"/>
        <v>188.43427438110825</v>
      </c>
      <c r="L75" s="32">
        <f t="shared" si="3"/>
        <v>403.50116961628174</v>
      </c>
      <c r="N75" s="50">
        <v>1251934.8050751775</v>
      </c>
      <c r="O75" s="50">
        <v>0</v>
      </c>
      <c r="P75" s="50">
        <v>0</v>
      </c>
      <c r="Q75" s="50">
        <v>-1979654.9070318439</v>
      </c>
      <c r="R75" s="51">
        <v>1129445.7167275373</v>
      </c>
      <c r="S75" s="51">
        <v>0</v>
      </c>
      <c r="T75" s="51">
        <v>0</v>
      </c>
      <c r="U75" s="51">
        <v>-1836287.6341410845</v>
      </c>
    </row>
    <row r="76" spans="2:21" x14ac:dyDescent="0.25">
      <c r="B76" s="33">
        <v>64</v>
      </c>
      <c r="C76" s="34">
        <f t="shared" si="1"/>
        <v>46750</v>
      </c>
      <c r="D76" s="29">
        <v>46752</v>
      </c>
      <c r="E76" s="35">
        <f t="shared" si="2"/>
        <v>1.0394795453324155</v>
      </c>
      <c r="F76" s="35">
        <f t="shared" si="19"/>
        <v>-0.72476179538658747</v>
      </c>
      <c r="G76" s="35">
        <f t="shared" ref="G76:G107" si="22">EXP(-H76/100*(D76-$C$12)/365)</f>
        <v>0.85029243557103962</v>
      </c>
      <c r="H76" s="35">
        <f t="shared" si="18"/>
        <v>3.0355823378813569</v>
      </c>
      <c r="I76" s="35">
        <f t="shared" si="20"/>
        <v>8.619939008028437</v>
      </c>
      <c r="J76" s="35">
        <f t="shared" si="14"/>
        <v>8.7099887548967754</v>
      </c>
      <c r="K76" s="35">
        <f t="shared" si="21"/>
        <v>194.06511429534117</v>
      </c>
      <c r="L76" s="32">
        <f t="shared" si="3"/>
        <v>413.33888976548053</v>
      </c>
      <c r="N76" s="50">
        <v>1243326.3846728648</v>
      </c>
      <c r="O76" s="50">
        <v>0</v>
      </c>
      <c r="P76" s="50">
        <v>0</v>
      </c>
      <c r="Q76" s="50">
        <v>-2027461.4751970093</v>
      </c>
      <c r="R76" s="51">
        <v>1133778.612645654</v>
      </c>
      <c r="S76" s="51">
        <v>0</v>
      </c>
      <c r="T76" s="51">
        <v>0</v>
      </c>
      <c r="U76" s="51">
        <v>-1913801.7767613968</v>
      </c>
    </row>
    <row r="77" spans="2:21" x14ac:dyDescent="0.25">
      <c r="B77" s="33">
        <v>65</v>
      </c>
      <c r="C77" s="34">
        <f t="shared" ref="C77:C126" si="23">D77-2</f>
        <v>46781</v>
      </c>
      <c r="D77" s="29">
        <v>46783</v>
      </c>
      <c r="E77" s="35">
        <f t="shared" si="2"/>
        <v>1.0395870566581977</v>
      </c>
      <c r="F77" s="35">
        <f t="shared" si="19"/>
        <v>-0.7153258097084334</v>
      </c>
      <c r="G77" s="35">
        <f t="shared" si="22"/>
        <v>0.84841287301477175</v>
      </c>
      <c r="H77" s="35">
        <f t="shared" si="18"/>
        <v>3.0288529701930549</v>
      </c>
      <c r="I77" s="35">
        <f t="shared" si="20"/>
        <v>8.6214029421081975</v>
      </c>
      <c r="J77" s="35">
        <f t="shared" si="14"/>
        <v>8.7129013273419993</v>
      </c>
      <c r="K77" s="35">
        <f t="shared" si="21"/>
        <v>199.69595420957413</v>
      </c>
      <c r="L77" s="32">
        <f t="shared" si="3"/>
        <v>423.32589033372193</v>
      </c>
      <c r="N77" s="50">
        <v>1234878.4667065777</v>
      </c>
      <c r="O77" s="50">
        <v>0</v>
      </c>
      <c r="P77" s="50">
        <v>0</v>
      </c>
      <c r="Q77" s="50">
        <v>-2074728.6401695954</v>
      </c>
      <c r="R77" s="51">
        <v>1115618.1087466436</v>
      </c>
      <c r="S77" s="51">
        <v>0</v>
      </c>
      <c r="T77" s="51">
        <v>0</v>
      </c>
      <c r="U77" s="51">
        <v>-1956852.5092972326</v>
      </c>
    </row>
    <row r="78" spans="2:21" x14ac:dyDescent="0.25">
      <c r="B78" s="33">
        <v>66</v>
      </c>
      <c r="C78" s="34">
        <f t="shared" si="23"/>
        <v>46810</v>
      </c>
      <c r="D78" s="29">
        <v>46812</v>
      </c>
      <c r="E78" s="35">
        <f t="shared" ref="E78:E127" si="24">EXP(-F78/100*(D78-$C$12)/365)</f>
        <v>1.039672555572446</v>
      </c>
      <c r="F78" s="35">
        <f t="shared" si="19"/>
        <v>-0.70649859729983788</v>
      </c>
      <c r="G78" s="35">
        <f t="shared" si="22"/>
        <v>0.84666709558357356</v>
      </c>
      <c r="H78" s="35">
        <f t="shared" si="18"/>
        <v>3.0225577552588367</v>
      </c>
      <c r="I78" s="35">
        <f t="shared" si="20"/>
        <v>8.6227724288279717</v>
      </c>
      <c r="J78" s="35">
        <f t="shared" si="14"/>
        <v>8.7157197176390397</v>
      </c>
      <c r="K78" s="35">
        <f t="shared" si="21"/>
        <v>204.96351412934041</v>
      </c>
      <c r="L78" s="32">
        <f t="shared" si="3"/>
        <v>432.97942480490093</v>
      </c>
      <c r="N78" s="50">
        <v>1227128.1494446835</v>
      </c>
      <c r="O78" s="50">
        <v>0</v>
      </c>
      <c r="P78" s="50">
        <v>0</v>
      </c>
      <c r="Q78" s="50">
        <v>-2118470.4489147561</v>
      </c>
      <c r="R78" s="51">
        <v>1112657.3480561164</v>
      </c>
      <c r="S78" s="51">
        <v>0</v>
      </c>
      <c r="T78" s="51">
        <v>0</v>
      </c>
      <c r="U78" s="51">
        <v>-2030296.7640436019</v>
      </c>
    </row>
    <row r="79" spans="2:21" x14ac:dyDescent="0.25">
      <c r="B79" s="33">
        <v>67</v>
      </c>
      <c r="C79" s="34">
        <f t="shared" si="23"/>
        <v>46841</v>
      </c>
      <c r="D79" s="29">
        <v>46843</v>
      </c>
      <c r="E79" s="35">
        <f t="shared" si="24"/>
        <v>1.0397478308680528</v>
      </c>
      <c r="F79" s="35">
        <f t="shared" si="19"/>
        <v>-0.69706261162168393</v>
      </c>
      <c r="G79" s="35">
        <f t="shared" si="22"/>
        <v>0.84481423722349558</v>
      </c>
      <c r="H79" s="35">
        <f t="shared" si="18"/>
        <v>3.0158283875705352</v>
      </c>
      <c r="I79" s="35">
        <f t="shared" si="20"/>
        <v>8.6242363629077321</v>
      </c>
      <c r="J79" s="35">
        <f t="shared" si="14"/>
        <v>8.7185378951462909</v>
      </c>
      <c r="K79" s="35">
        <f t="shared" si="21"/>
        <v>210.59435404357333</v>
      </c>
      <c r="L79" s="32">
        <f t="shared" ref="L79:L126" si="25">MAX((K79^2*(C79-$C$12)-K78^2*(C78-$C$12))/(C79-C78),1)^0.5</f>
        <v>442.62591140336156</v>
      </c>
      <c r="N79" s="50">
        <v>1219013.6698661135</v>
      </c>
      <c r="O79" s="50">
        <v>0</v>
      </c>
      <c r="P79" s="50">
        <v>0</v>
      </c>
      <c r="Q79" s="50">
        <v>-2164732.9544544136</v>
      </c>
      <c r="R79" s="51">
        <v>1099345.0046733168</v>
      </c>
      <c r="S79" s="51">
        <v>0</v>
      </c>
      <c r="T79" s="51">
        <v>0</v>
      </c>
      <c r="U79" s="51">
        <v>-2086350.7097271588</v>
      </c>
    </row>
    <row r="80" spans="2:21" x14ac:dyDescent="0.25">
      <c r="B80" s="33">
        <v>68</v>
      </c>
      <c r="C80" s="34">
        <f t="shared" si="23"/>
        <v>46871</v>
      </c>
      <c r="D80" s="29">
        <v>46873</v>
      </c>
      <c r="E80" s="35">
        <f t="shared" si="24"/>
        <v>1.0398048145055472</v>
      </c>
      <c r="F80" s="35">
        <f t="shared" si="19"/>
        <v>-0.68793101257830913</v>
      </c>
      <c r="G80" s="35">
        <f t="shared" si="22"/>
        <v>0.8430341844684367</v>
      </c>
      <c r="H80" s="35">
        <f t="shared" si="18"/>
        <v>3.0093160962592749</v>
      </c>
      <c r="I80" s="35">
        <f t="shared" si="20"/>
        <v>8.6256530733075003</v>
      </c>
      <c r="J80" s="35">
        <f t="shared" si="14"/>
        <v>8.7214028106389225</v>
      </c>
      <c r="K80" s="35">
        <f t="shared" si="21"/>
        <v>216.04355396057295</v>
      </c>
      <c r="L80" s="32">
        <f t="shared" si="25"/>
        <v>452.42250153553459</v>
      </c>
      <c r="N80" s="50">
        <v>1211334.9145142059</v>
      </c>
      <c r="O80" s="50">
        <v>0</v>
      </c>
      <c r="P80" s="50">
        <v>0</v>
      </c>
      <c r="Q80" s="50">
        <v>-2209026.510713547</v>
      </c>
      <c r="R80" s="51">
        <v>1111948.3098866052</v>
      </c>
      <c r="S80" s="51">
        <v>0</v>
      </c>
      <c r="T80" s="51">
        <v>0</v>
      </c>
      <c r="U80" s="51">
        <v>-2120924.0332240653</v>
      </c>
    </row>
    <row r="81" spans="2:21" x14ac:dyDescent="0.25">
      <c r="B81" s="33">
        <v>69</v>
      </c>
      <c r="C81" s="34">
        <f t="shared" si="23"/>
        <v>46902</v>
      </c>
      <c r="D81" s="29">
        <v>46904</v>
      </c>
      <c r="E81" s="35">
        <f t="shared" si="24"/>
        <v>1.0398473026385437</v>
      </c>
      <c r="F81" s="35">
        <f t="shared" si="19"/>
        <v>-0.67849502690015517</v>
      </c>
      <c r="G81" s="35">
        <f t="shared" si="22"/>
        <v>0.8412081972377895</v>
      </c>
      <c r="H81" s="35">
        <f t="shared" si="18"/>
        <v>3.0025867285709738</v>
      </c>
      <c r="I81" s="35">
        <f t="shared" si="20"/>
        <v>8.6271170073872607</v>
      </c>
      <c r="J81" s="35">
        <f t="shared" ref="J81:J112" si="26">MAX((I81^2*(C81-$C$12)-I80^2*(C80-$C$12))/(C81-C80),1)^0.5</f>
        <v>8.7242675026003624</v>
      </c>
      <c r="K81" s="35">
        <f t="shared" si="21"/>
        <v>221.67439387480587</v>
      </c>
      <c r="L81" s="32">
        <f t="shared" si="25"/>
        <v>462.21174753448236</v>
      </c>
      <c r="N81" s="50">
        <v>1203585.8465293064</v>
      </c>
      <c r="O81" s="50">
        <v>0</v>
      </c>
      <c r="P81" s="50">
        <v>0</v>
      </c>
      <c r="Q81" s="50">
        <v>-2254314.6817561439</v>
      </c>
      <c r="R81" s="51">
        <v>1109830.9959290063</v>
      </c>
      <c r="S81" s="51">
        <v>0</v>
      </c>
      <c r="T81" s="51">
        <v>0</v>
      </c>
      <c r="U81" s="51">
        <v>-2156414.5133140082</v>
      </c>
    </row>
    <row r="82" spans="2:21" x14ac:dyDescent="0.25">
      <c r="B82" s="33">
        <v>70</v>
      </c>
      <c r="C82" s="34">
        <f t="shared" si="23"/>
        <v>46932</v>
      </c>
      <c r="D82" s="29">
        <v>46934</v>
      </c>
      <c r="E82" s="35">
        <f t="shared" si="24"/>
        <v>1.0398725521938474</v>
      </c>
      <c r="F82" s="35">
        <f t="shared" si="19"/>
        <v>-0.66936342785678027</v>
      </c>
      <c r="G82" s="35">
        <f t="shared" si="22"/>
        <v>0.83945401482302318</v>
      </c>
      <c r="H82" s="35">
        <f t="shared" si="18"/>
        <v>2.9960744372597139</v>
      </c>
      <c r="I82" s="35">
        <f t="shared" si="20"/>
        <v>8.6285337177870272</v>
      </c>
      <c r="J82" s="35">
        <f t="shared" si="26"/>
        <v>8.7271319634564755</v>
      </c>
      <c r="K82" s="35">
        <f t="shared" si="21"/>
        <v>227.12359379180549</v>
      </c>
      <c r="L82" s="32">
        <f t="shared" si="25"/>
        <v>471.99197435642884</v>
      </c>
      <c r="N82" s="50">
        <v>1196271.1308352444</v>
      </c>
      <c r="O82" s="50">
        <v>0</v>
      </c>
      <c r="P82" s="50">
        <v>0</v>
      </c>
      <c r="Q82" s="50">
        <v>-2297684.3540162435</v>
      </c>
      <c r="R82" s="51">
        <v>1104887.0324593689</v>
      </c>
      <c r="S82" s="51">
        <v>0</v>
      </c>
      <c r="T82" s="51">
        <v>0</v>
      </c>
      <c r="U82" s="51">
        <v>-2210025.3689992065</v>
      </c>
    </row>
    <row r="83" spans="2:21" x14ac:dyDescent="0.25">
      <c r="B83" s="33">
        <v>71</v>
      </c>
      <c r="C83" s="34">
        <f t="shared" si="23"/>
        <v>46963</v>
      </c>
      <c r="D83" s="29">
        <v>46965</v>
      </c>
      <c r="E83" s="35">
        <f t="shared" si="24"/>
        <v>1.0398822452540897</v>
      </c>
      <c r="F83" s="35">
        <f t="shared" si="19"/>
        <v>-0.65992744217862642</v>
      </c>
      <c r="G83" s="35">
        <f t="shared" si="22"/>
        <v>0.83765462302081906</v>
      </c>
      <c r="H83" s="35">
        <f t="shared" si="18"/>
        <v>2.9893450695714119</v>
      </c>
      <c r="I83" s="35">
        <f t="shared" si="20"/>
        <v>8.6299976518667858</v>
      </c>
      <c r="J83" s="35">
        <f t="shared" si="26"/>
        <v>8.7299962012264647</v>
      </c>
      <c r="K83" s="35">
        <f t="shared" si="21"/>
        <v>232.75443370603841</v>
      </c>
      <c r="L83" s="32">
        <f t="shared" si="25"/>
        <v>481.76582004960983</v>
      </c>
      <c r="N83" s="50">
        <v>1188907.0683869147</v>
      </c>
      <c r="O83" s="50">
        <v>0</v>
      </c>
      <c r="P83" s="50">
        <v>0</v>
      </c>
      <c r="Q83" s="50">
        <v>-2342034.2474548128</v>
      </c>
      <c r="R83" s="51">
        <v>1095800.5981491604</v>
      </c>
      <c r="S83" s="51">
        <v>0</v>
      </c>
      <c r="T83" s="51">
        <v>0</v>
      </c>
      <c r="U83" s="51">
        <v>-2210429.5925830132</v>
      </c>
    </row>
    <row r="84" spans="2:21" x14ac:dyDescent="0.25">
      <c r="B84" s="33">
        <v>72</v>
      </c>
      <c r="C84" s="34">
        <f t="shared" si="23"/>
        <v>46994</v>
      </c>
      <c r="D84" s="29">
        <v>46996</v>
      </c>
      <c r="E84" s="35">
        <f t="shared" si="24"/>
        <v>1.0398752708906678</v>
      </c>
      <c r="F84" s="35">
        <f t="shared" si="19"/>
        <v>-0.65049145650047246</v>
      </c>
      <c r="G84" s="35">
        <f t="shared" si="22"/>
        <v>0.83586864277709727</v>
      </c>
      <c r="H84" s="35">
        <f>Rates!G26</f>
        <v>2.9826157018831099</v>
      </c>
      <c r="I84" s="35">
        <f t="shared" si="20"/>
        <v>8.631461585946548</v>
      </c>
      <c r="J84" s="35">
        <f t="shared" si="26"/>
        <v>8.7329071593686702</v>
      </c>
      <c r="K84" s="35">
        <f t="shared" si="21"/>
        <v>238.38527362027133</v>
      </c>
      <c r="L84" s="32">
        <f t="shared" si="25"/>
        <v>491.69217726775378</v>
      </c>
      <c r="N84" s="50">
        <v>1181743.6683053449</v>
      </c>
      <c r="O84" s="50">
        <v>0</v>
      </c>
      <c r="P84" s="50">
        <v>0</v>
      </c>
      <c r="Q84" s="50">
        <v>-2385916.8454015008</v>
      </c>
      <c r="R84" s="51">
        <v>1093627.941963207</v>
      </c>
      <c r="S84" s="51">
        <v>0</v>
      </c>
      <c r="T84" s="51">
        <v>0</v>
      </c>
      <c r="U84" s="51">
        <v>-2269177.9611461586</v>
      </c>
    </row>
    <row r="85" spans="2:21" x14ac:dyDescent="0.25">
      <c r="B85" s="33">
        <v>73</v>
      </c>
      <c r="C85" s="34">
        <f t="shared" si="23"/>
        <v>47024</v>
      </c>
      <c r="D85" s="29">
        <v>47026</v>
      </c>
      <c r="E85" s="35">
        <f t="shared" si="24"/>
        <v>1.0398526522091567</v>
      </c>
      <c r="F85" s="35">
        <f t="shared" si="19"/>
        <v>-0.64135985745709756</v>
      </c>
      <c r="G85" s="35">
        <f t="shared" si="22"/>
        <v>0.83398945522483325</v>
      </c>
      <c r="H85" s="35">
        <f t="shared" ref="H85:H95" si="27">($H$84*($D$96-D85)+$H$96*(D85-$D$84))/($D$96-$D$84)</f>
        <v>2.9793210394019658</v>
      </c>
      <c r="I85" s="35">
        <f t="shared" si="20"/>
        <v>8.6328782963463144</v>
      </c>
      <c r="J85" s="35">
        <f t="shared" si="26"/>
        <v>8.735770936234724</v>
      </c>
      <c r="K85" s="35">
        <f t="shared" si="21"/>
        <v>243.83447353727095</v>
      </c>
      <c r="L85" s="32">
        <f t="shared" si="25"/>
        <v>501.45128689025063</v>
      </c>
      <c r="N85" s="50">
        <v>1173710.3897525221</v>
      </c>
      <c r="O85" s="50">
        <v>0</v>
      </c>
      <c r="P85" s="50">
        <v>0</v>
      </c>
      <c r="Q85" s="50">
        <v>-2430366.1290870635</v>
      </c>
      <c r="R85" s="51">
        <v>1087101.7014528892</v>
      </c>
      <c r="S85" s="51">
        <v>0</v>
      </c>
      <c r="T85" s="51">
        <v>0</v>
      </c>
      <c r="U85" s="51">
        <v>-2313226.9529453027</v>
      </c>
    </row>
    <row r="86" spans="2:21" x14ac:dyDescent="0.25">
      <c r="B86" s="33">
        <v>74</v>
      </c>
      <c r="C86" s="34">
        <f t="shared" si="23"/>
        <v>47055</v>
      </c>
      <c r="D86" s="29">
        <v>47057</v>
      </c>
      <c r="E86" s="35">
        <f t="shared" si="24"/>
        <v>1.039812882391286</v>
      </c>
      <c r="F86" s="35">
        <f t="shared" si="19"/>
        <v>-0.63192387177894371</v>
      </c>
      <c r="G86" s="35">
        <f t="shared" si="22"/>
        <v>0.83205680045237762</v>
      </c>
      <c r="H86" s="35">
        <f t="shared" si="27"/>
        <v>2.9759165548381179</v>
      </c>
      <c r="I86" s="35">
        <f t="shared" si="20"/>
        <v>8.6343422304260748</v>
      </c>
      <c r="J86" s="35">
        <f t="shared" si="26"/>
        <v>8.7386344906838911</v>
      </c>
      <c r="K86" s="35">
        <f t="shared" si="21"/>
        <v>249.4653134515039</v>
      </c>
      <c r="L86" s="32">
        <f t="shared" si="25"/>
        <v>511.20518999191302</v>
      </c>
      <c r="N86" s="50">
        <v>1165596.8204399925</v>
      </c>
      <c r="O86" s="50">
        <v>0</v>
      </c>
      <c r="P86" s="50">
        <v>0</v>
      </c>
      <c r="Q86" s="50">
        <v>-2475942.8372135512</v>
      </c>
      <c r="R86" s="51">
        <v>1071539.9282588193</v>
      </c>
      <c r="S86" s="51">
        <v>0</v>
      </c>
      <c r="T86" s="51">
        <v>0</v>
      </c>
      <c r="U86" s="51">
        <v>-2364459.434455805</v>
      </c>
    </row>
    <row r="87" spans="2:21" x14ac:dyDescent="0.25">
      <c r="B87" s="33">
        <v>75</v>
      </c>
      <c r="C87" s="34">
        <f t="shared" si="23"/>
        <v>47085</v>
      </c>
      <c r="D87" s="29">
        <v>47087</v>
      </c>
      <c r="E87" s="35">
        <f t="shared" si="24"/>
        <v>1.0397585290133176</v>
      </c>
      <c r="F87" s="35">
        <f t="shared" si="19"/>
        <v>-0.62279227273556892</v>
      </c>
      <c r="G87" s="35">
        <f t="shared" si="22"/>
        <v>0.8301953249345394</v>
      </c>
      <c r="H87" s="35">
        <f t="shared" si="27"/>
        <v>2.9726218923569738</v>
      </c>
      <c r="I87" s="35">
        <f t="shared" si="20"/>
        <v>8.6357589408258431</v>
      </c>
      <c r="J87" s="35">
        <f t="shared" si="26"/>
        <v>8.7414978151529006</v>
      </c>
      <c r="K87" s="35">
        <f t="shared" si="21"/>
        <v>254.91451336850352</v>
      </c>
      <c r="L87" s="32">
        <f t="shared" si="25"/>
        <v>520.95224738956085</v>
      </c>
      <c r="N87" s="50">
        <v>1157926.7737461091</v>
      </c>
      <c r="O87" s="50">
        <v>0</v>
      </c>
      <c r="P87" s="50">
        <v>0</v>
      </c>
      <c r="Q87" s="50">
        <v>-2519706.5377943674</v>
      </c>
      <c r="R87" s="51">
        <v>1065197.1591707515</v>
      </c>
      <c r="S87" s="51">
        <v>0</v>
      </c>
      <c r="T87" s="51">
        <v>0</v>
      </c>
      <c r="U87" s="51">
        <v>-2401904.8284998192</v>
      </c>
    </row>
    <row r="88" spans="2:21" x14ac:dyDescent="0.25">
      <c r="B88" s="33">
        <v>76</v>
      </c>
      <c r="C88" s="34">
        <f t="shared" si="23"/>
        <v>47116</v>
      </c>
      <c r="D88" s="29">
        <v>47118</v>
      </c>
      <c r="E88" s="35">
        <f t="shared" si="24"/>
        <v>1.0396859711450968</v>
      </c>
      <c r="F88" s="35">
        <f t="shared" si="19"/>
        <v>-0.61335628705741485</v>
      </c>
      <c r="G88" s="35">
        <f t="shared" si="22"/>
        <v>0.82828088779585551</v>
      </c>
      <c r="H88" s="35">
        <f t="shared" si="27"/>
        <v>2.969217407793125</v>
      </c>
      <c r="I88" s="35">
        <f t="shared" si="20"/>
        <v>8.6372228749056035</v>
      </c>
      <c r="J88" s="35">
        <f t="shared" si="26"/>
        <v>8.7443609176465937</v>
      </c>
      <c r="K88" s="35">
        <f t="shared" si="21"/>
        <v>260.54535328273641</v>
      </c>
      <c r="L88" s="32">
        <f t="shared" si="25"/>
        <v>530.69473245831034</v>
      </c>
      <c r="N88" s="50">
        <v>1150188.5220791441</v>
      </c>
      <c r="O88" s="50">
        <v>0</v>
      </c>
      <c r="P88" s="50">
        <v>0</v>
      </c>
      <c r="Q88" s="50">
        <v>-2564573.4964157627</v>
      </c>
      <c r="R88" s="51">
        <v>1057410.5280375415</v>
      </c>
      <c r="S88" s="51">
        <v>0</v>
      </c>
      <c r="T88" s="51">
        <v>0</v>
      </c>
      <c r="U88" s="51">
        <v>-2399099.1630577678</v>
      </c>
    </row>
    <row r="89" spans="2:21" x14ac:dyDescent="0.25">
      <c r="B89" s="33">
        <v>77</v>
      </c>
      <c r="C89" s="34">
        <f t="shared" si="23"/>
        <v>47147</v>
      </c>
      <c r="D89" s="29">
        <v>47149</v>
      </c>
      <c r="E89" s="35">
        <f t="shared" si="24"/>
        <v>1.0395967552903462</v>
      </c>
      <c r="F89" s="35">
        <f t="shared" si="19"/>
        <v>-0.603920301379261</v>
      </c>
      <c r="G89" s="35">
        <f t="shared" si="22"/>
        <v>0.82637564424825294</v>
      </c>
      <c r="H89" s="35">
        <f t="shared" si="27"/>
        <v>2.9658129232292763</v>
      </c>
      <c r="I89" s="35">
        <f t="shared" si="20"/>
        <v>8.6386868089853621</v>
      </c>
      <c r="J89" s="35">
        <f t="shared" si="26"/>
        <v>8.7472707230474871</v>
      </c>
      <c r="K89" s="35">
        <f t="shared" si="21"/>
        <v>266.17619319696939</v>
      </c>
      <c r="L89" s="32">
        <f t="shared" si="25"/>
        <v>540.5910729862876</v>
      </c>
      <c r="N89" s="50">
        <v>1142639.7259253305</v>
      </c>
      <c r="O89" s="50">
        <v>0</v>
      </c>
      <c r="P89" s="50">
        <v>0</v>
      </c>
      <c r="Q89" s="50">
        <v>-2609076.5998293567</v>
      </c>
      <c r="R89" s="51">
        <v>1044450.2954176031</v>
      </c>
      <c r="S89" s="51">
        <v>0</v>
      </c>
      <c r="T89" s="51">
        <v>0</v>
      </c>
      <c r="U89" s="51">
        <v>-2528691.7420554152</v>
      </c>
    </row>
    <row r="90" spans="2:21" x14ac:dyDescent="0.25">
      <c r="B90" s="33">
        <v>78</v>
      </c>
      <c r="C90" s="34">
        <f t="shared" si="23"/>
        <v>47175</v>
      </c>
      <c r="D90" s="29">
        <v>47177</v>
      </c>
      <c r="E90" s="35">
        <f t="shared" si="24"/>
        <v>1.0395018588848732</v>
      </c>
      <c r="F90" s="35">
        <f t="shared" si="19"/>
        <v>-0.59539747560544443</v>
      </c>
      <c r="G90" s="35">
        <f t="shared" si="22"/>
        <v>0.8246626452922845</v>
      </c>
      <c r="H90" s="35">
        <f t="shared" si="27"/>
        <v>2.9627379049135421</v>
      </c>
      <c r="I90" s="35">
        <f t="shared" si="20"/>
        <v>8.6400090720251459</v>
      </c>
      <c r="J90" s="35">
        <f t="shared" si="26"/>
        <v>8.7500395095295502</v>
      </c>
      <c r="K90" s="35">
        <f t="shared" si="21"/>
        <v>271.26211311950237</v>
      </c>
      <c r="L90" s="32">
        <f t="shared" si="25"/>
        <v>550.00247259612115</v>
      </c>
      <c r="N90" s="50">
        <v>1135982.9128302885</v>
      </c>
      <c r="O90" s="50">
        <v>0</v>
      </c>
      <c r="P90" s="50">
        <v>0</v>
      </c>
      <c r="Q90" s="50">
        <v>-2648957.3192785922</v>
      </c>
      <c r="R90" s="51">
        <v>1037665.8061923143</v>
      </c>
      <c r="S90" s="51">
        <v>0</v>
      </c>
      <c r="T90" s="51">
        <v>0</v>
      </c>
      <c r="U90" s="51">
        <v>-2553110.5400284412</v>
      </c>
    </row>
    <row r="91" spans="2:21" x14ac:dyDescent="0.25">
      <c r="B91" s="33">
        <v>79</v>
      </c>
      <c r="C91" s="34">
        <f t="shared" si="23"/>
        <v>47206</v>
      </c>
      <c r="D91" s="29">
        <v>47208</v>
      </c>
      <c r="E91" s="35">
        <f t="shared" si="24"/>
        <v>1.0393809516360628</v>
      </c>
      <c r="F91" s="35">
        <f t="shared" si="19"/>
        <v>-0.58596148992729047</v>
      </c>
      <c r="G91" s="35">
        <f t="shared" si="22"/>
        <v>0.82277478020405781</v>
      </c>
      <c r="H91" s="35">
        <f t="shared" si="27"/>
        <v>2.9593334203496937</v>
      </c>
      <c r="I91" s="35">
        <f t="shared" si="20"/>
        <v>8.6414730061049063</v>
      </c>
      <c r="J91" s="35">
        <f t="shared" si="26"/>
        <v>8.7528080966095771</v>
      </c>
      <c r="K91" s="35">
        <f t="shared" si="21"/>
        <v>276.8929530337353</v>
      </c>
      <c r="L91" s="32">
        <f t="shared" si="25"/>
        <v>559.4121243159334</v>
      </c>
      <c r="N91" s="50">
        <v>1128789.644820225</v>
      </c>
      <c r="O91" s="50">
        <v>0</v>
      </c>
      <c r="P91" s="50">
        <v>0</v>
      </c>
      <c r="Q91" s="50">
        <v>-2692757.6107076043</v>
      </c>
      <c r="R91" s="51">
        <v>1026350.8516032563</v>
      </c>
      <c r="S91" s="51">
        <v>0</v>
      </c>
      <c r="T91" s="51">
        <v>0</v>
      </c>
      <c r="U91" s="51">
        <v>-2630527.1166537832</v>
      </c>
    </row>
    <row r="92" spans="2:21" x14ac:dyDescent="0.25">
      <c r="B92" s="33">
        <v>80</v>
      </c>
      <c r="C92" s="34">
        <f t="shared" si="23"/>
        <v>47236</v>
      </c>
      <c r="D92" s="29">
        <v>47238</v>
      </c>
      <c r="E92" s="35">
        <f t="shared" si="24"/>
        <v>1.0392480978950942</v>
      </c>
      <c r="F92" s="35">
        <f t="shared" si="19"/>
        <v>-0.57682989088391567</v>
      </c>
      <c r="G92" s="35">
        <f t="shared" si="22"/>
        <v>0.82095644932445533</v>
      </c>
      <c r="H92" s="35">
        <f t="shared" si="27"/>
        <v>2.9560387578685501</v>
      </c>
      <c r="I92" s="35">
        <f t="shared" si="20"/>
        <v>8.6428897165046727</v>
      </c>
      <c r="J92" s="35">
        <f t="shared" si="26"/>
        <v>8.7556703050260865</v>
      </c>
      <c r="K92" s="35">
        <f t="shared" si="21"/>
        <v>282.34215295073489</v>
      </c>
      <c r="L92" s="32">
        <f t="shared" si="25"/>
        <v>569.13453649763517</v>
      </c>
      <c r="N92" s="50">
        <v>1122002.9819811755</v>
      </c>
      <c r="O92" s="50">
        <v>0</v>
      </c>
      <c r="P92" s="50">
        <v>0</v>
      </c>
      <c r="Q92" s="50">
        <v>-2734787.0251318146</v>
      </c>
      <c r="R92" s="51">
        <v>1029470.1338787653</v>
      </c>
      <c r="S92" s="51">
        <v>0</v>
      </c>
      <c r="T92" s="51">
        <v>0</v>
      </c>
      <c r="U92" s="51">
        <v>-2646508.6848315997</v>
      </c>
    </row>
    <row r="93" spans="2:21" x14ac:dyDescent="0.25">
      <c r="B93" s="33">
        <v>81</v>
      </c>
      <c r="C93" s="34">
        <f t="shared" si="23"/>
        <v>47267</v>
      </c>
      <c r="D93" s="29">
        <v>47269</v>
      </c>
      <c r="E93" s="35">
        <f t="shared" si="24"/>
        <v>1.0390944471683947</v>
      </c>
      <c r="F93" s="35">
        <f t="shared" si="19"/>
        <v>-0.56739390520576172</v>
      </c>
      <c r="G93" s="35">
        <f t="shared" si="22"/>
        <v>0.81908638930944921</v>
      </c>
      <c r="H93" s="35">
        <f t="shared" si="27"/>
        <v>2.9526342733047013</v>
      </c>
      <c r="I93" s="35">
        <f t="shared" si="20"/>
        <v>8.6443536505844332</v>
      </c>
      <c r="J93" s="35">
        <f t="shared" si="26"/>
        <v>8.7585322925560298</v>
      </c>
      <c r="K93" s="35">
        <f t="shared" si="21"/>
        <v>287.97299286496781</v>
      </c>
      <c r="L93" s="32">
        <f t="shared" si="25"/>
        <v>578.85358567627907</v>
      </c>
      <c r="N93" s="50">
        <v>1115167.7237401207</v>
      </c>
      <c r="O93" s="50">
        <v>0</v>
      </c>
      <c r="P93" s="50">
        <v>0</v>
      </c>
      <c r="Q93" s="50">
        <v>-2777842.3971525021</v>
      </c>
      <c r="R93" s="51">
        <v>1029423.2628193242</v>
      </c>
      <c r="S93" s="51">
        <v>0</v>
      </c>
      <c r="T93" s="51">
        <v>0</v>
      </c>
      <c r="U93" s="51">
        <v>-2681827.5735620121</v>
      </c>
    </row>
    <row r="94" spans="2:21" x14ac:dyDescent="0.25">
      <c r="B94" s="33">
        <v>82</v>
      </c>
      <c r="C94" s="34">
        <f t="shared" si="23"/>
        <v>47297</v>
      </c>
      <c r="D94" s="29">
        <v>47299</v>
      </c>
      <c r="E94" s="35">
        <f t="shared" si="24"/>
        <v>1.0389299192862145</v>
      </c>
      <c r="F94" s="35">
        <f t="shared" si="19"/>
        <v>-0.55826230616238692</v>
      </c>
      <c r="G94" s="35">
        <f t="shared" si="22"/>
        <v>0.81728520990502707</v>
      </c>
      <c r="H94" s="35">
        <f t="shared" si="27"/>
        <v>2.9493396108235572</v>
      </c>
      <c r="I94" s="35">
        <f t="shared" si="20"/>
        <v>8.6457703609842014</v>
      </c>
      <c r="J94" s="35">
        <f t="shared" si="26"/>
        <v>8.7613940516522799</v>
      </c>
      <c r="K94" s="35">
        <f t="shared" si="21"/>
        <v>293.4221927819674</v>
      </c>
      <c r="L94" s="32">
        <f t="shared" si="25"/>
        <v>588.56772872880265</v>
      </c>
      <c r="N94" s="50">
        <v>1108722.0035356297</v>
      </c>
      <c r="O94" s="50">
        <v>0</v>
      </c>
      <c r="P94" s="50">
        <v>0</v>
      </c>
      <c r="Q94" s="50">
        <v>-2819140.7835923638</v>
      </c>
      <c r="R94" s="51">
        <v>1016228.4190859245</v>
      </c>
      <c r="S94" s="51">
        <v>0</v>
      </c>
      <c r="T94" s="51">
        <v>0</v>
      </c>
      <c r="U94" s="51">
        <v>-2722060.0280961427</v>
      </c>
    </row>
    <row r="95" spans="2:21" x14ac:dyDescent="0.25">
      <c r="B95" s="33">
        <v>83</v>
      </c>
      <c r="C95" s="34">
        <f t="shared" si="23"/>
        <v>47328</v>
      </c>
      <c r="D95" s="29">
        <v>47330</v>
      </c>
      <c r="E95" s="35">
        <f t="shared" si="24"/>
        <v>1.038743553675233</v>
      </c>
      <c r="F95" s="35">
        <f t="shared" si="19"/>
        <v>-0.54882632048423297</v>
      </c>
      <c r="G95" s="35">
        <f t="shared" si="22"/>
        <v>0.81543279168228611</v>
      </c>
      <c r="H95" s="35">
        <f t="shared" si="27"/>
        <v>2.9459351262597084</v>
      </c>
      <c r="I95" s="35">
        <f t="shared" si="20"/>
        <v>8.64723429506396</v>
      </c>
      <c r="J95" s="35">
        <f t="shared" si="26"/>
        <v>8.7642555902993919</v>
      </c>
      <c r="K95" s="35">
        <f t="shared" si="21"/>
        <v>299.05303269620038</v>
      </c>
      <c r="L95" s="32">
        <f t="shared" si="25"/>
        <v>598.27888661131658</v>
      </c>
      <c r="N95" s="50"/>
      <c r="O95" s="50"/>
      <c r="P95" s="50"/>
      <c r="Q95" s="50"/>
      <c r="R95" s="51"/>
      <c r="S95" s="51"/>
      <c r="T95" s="51"/>
      <c r="U95" s="51"/>
    </row>
    <row r="96" spans="2:21" x14ac:dyDescent="0.25">
      <c r="B96" s="33">
        <v>84</v>
      </c>
      <c r="C96" s="34">
        <f t="shared" si="23"/>
        <v>47359</v>
      </c>
      <c r="D96" s="29">
        <v>47361</v>
      </c>
      <c r="E96" s="35">
        <f t="shared" si="24"/>
        <v>1.0385405753739263</v>
      </c>
      <c r="F96" s="35">
        <f>Rates!N27</f>
        <v>-0.53939033480607901</v>
      </c>
      <c r="G96" s="35">
        <f t="shared" si="22"/>
        <v>0.81358927699975003</v>
      </c>
      <c r="H96" s="35">
        <f>Rates!G27</f>
        <v>2.9425306416958601</v>
      </c>
      <c r="I96" s="31">
        <f>Vols!E12</f>
        <v>8.6486982291437204</v>
      </c>
      <c r="J96" s="35">
        <f t="shared" si="26"/>
        <v>8.767163807792679</v>
      </c>
      <c r="K96" s="31">
        <f>Vols!G12</f>
        <v>304.6838726104333</v>
      </c>
      <c r="L96" s="32">
        <f t="shared" si="25"/>
        <v>608.14506391798886</v>
      </c>
      <c r="N96" s="50"/>
      <c r="O96" s="50"/>
      <c r="P96" s="50"/>
      <c r="Q96" s="50"/>
      <c r="R96" s="51"/>
      <c r="S96" s="51"/>
      <c r="T96" s="51"/>
      <c r="U96" s="51"/>
    </row>
    <row r="97" spans="2:21" x14ac:dyDescent="0.25">
      <c r="B97" s="33">
        <v>85</v>
      </c>
      <c r="C97" s="34">
        <f t="shared" si="23"/>
        <v>47389</v>
      </c>
      <c r="D97" s="29">
        <v>47391</v>
      </c>
      <c r="E97" s="35">
        <f t="shared" si="24"/>
        <v>1.0386960676698129</v>
      </c>
      <c r="F97" s="35">
        <f>($F$96*($D$127-D97)+$F$127*(D97-$D$96))/($D$127-$D$96)</f>
        <v>-0.53525079491296468</v>
      </c>
      <c r="G97" s="35">
        <f t="shared" si="22"/>
        <v>0.8117471876614919</v>
      </c>
      <c r="H97" s="35">
        <f t="shared" ref="H97:H107" si="28">($H$96*($D$108-D97)+$H$108*(D97-$D$96))/($D$108-$D$96)</f>
        <v>2.9403905514934707</v>
      </c>
      <c r="I97" s="35">
        <f>($I$96*($D$127-D97)+$I$127*(D97-$D$96))/($D$127-$D$96)</f>
        <v>8.65207128594745</v>
      </c>
      <c r="J97" s="35">
        <f t="shared" si="26"/>
        <v>8.9348897422491724</v>
      </c>
      <c r="K97" s="35">
        <f>($K$96*($D$127-D97)+$K$127*(D97-$D$96))/($D$127-$D$96)</f>
        <v>303.35106101008108</v>
      </c>
      <c r="L97" s="32">
        <f t="shared" si="25"/>
        <v>151.48964556124295</v>
      </c>
      <c r="N97" s="50"/>
      <c r="O97" s="50"/>
      <c r="P97" s="50"/>
      <c r="Q97" s="50"/>
      <c r="R97" s="51"/>
      <c r="S97" s="51"/>
      <c r="T97" s="51"/>
      <c r="U97" s="51"/>
    </row>
    <row r="98" spans="2:21" x14ac:dyDescent="0.25">
      <c r="B98" s="33">
        <v>86</v>
      </c>
      <c r="C98" s="34">
        <f t="shared" si="23"/>
        <v>47420</v>
      </c>
      <c r="D98" s="29">
        <v>47422</v>
      </c>
      <c r="E98" s="35">
        <f t="shared" si="24"/>
        <v>1.0388493410098003</v>
      </c>
      <c r="F98" s="35">
        <f t="shared" ref="F98:F126" si="29">($F$96*($D$127-D98)+$F$127*(D98-$D$96))/($D$127-$D$96)</f>
        <v>-0.53097327035674635</v>
      </c>
      <c r="G98" s="35">
        <f t="shared" si="22"/>
        <v>0.80985106990893041</v>
      </c>
      <c r="H98" s="35">
        <f t="shared" si="28"/>
        <v>2.9381791249510019</v>
      </c>
      <c r="I98" s="35">
        <f t="shared" ref="I98:I126" si="30">($I$96*($D$127-D98)+$I$127*(D98-$D$96))/($D$127-$D$96)</f>
        <v>8.6555567779779707</v>
      </c>
      <c r="J98" s="35">
        <f t="shared" si="26"/>
        <v>8.9416403265724966</v>
      </c>
      <c r="K98" s="35">
        <f t="shared" ref="K98:K126" si="31">($K$96*($D$127-D98)+$K$127*(D98-$D$96))/($D$127-$D$96)</f>
        <v>301.97382235638378</v>
      </c>
      <c r="L98" s="32">
        <f t="shared" si="25"/>
        <v>147.02555390313339</v>
      </c>
      <c r="N98" s="50"/>
      <c r="O98" s="50"/>
      <c r="P98" s="50"/>
      <c r="Q98" s="50"/>
      <c r="R98" s="51"/>
      <c r="S98" s="51"/>
      <c r="T98" s="51"/>
      <c r="U98" s="51"/>
    </row>
    <row r="99" spans="2:21" x14ac:dyDescent="0.25">
      <c r="B99" s="33">
        <v>87</v>
      </c>
      <c r="C99" s="34">
        <f t="shared" si="23"/>
        <v>47450</v>
      </c>
      <c r="D99" s="29">
        <v>47452</v>
      </c>
      <c r="E99" s="35">
        <f t="shared" si="24"/>
        <v>1.038990503681742</v>
      </c>
      <c r="F99" s="35">
        <f t="shared" si="29"/>
        <v>-0.52683373046363202</v>
      </c>
      <c r="G99" s="35">
        <f t="shared" si="22"/>
        <v>0.80802322435111351</v>
      </c>
      <c r="H99" s="35">
        <f t="shared" si="28"/>
        <v>2.9360390347486125</v>
      </c>
      <c r="I99" s="35">
        <f t="shared" si="30"/>
        <v>8.6589298347816968</v>
      </c>
      <c r="J99" s="35">
        <f t="shared" si="26"/>
        <v>8.9483897393545337</v>
      </c>
      <c r="K99" s="35">
        <f t="shared" si="31"/>
        <v>300.64101075603156</v>
      </c>
      <c r="L99" s="32">
        <f t="shared" si="25"/>
        <v>142.46006685233755</v>
      </c>
      <c r="N99" s="50"/>
      <c r="O99" s="50"/>
      <c r="P99" s="50"/>
      <c r="Q99" s="50"/>
      <c r="R99" s="51"/>
      <c r="S99" s="51"/>
      <c r="T99" s="51"/>
      <c r="U99" s="51"/>
    </row>
    <row r="100" spans="2:21" x14ac:dyDescent="0.25">
      <c r="B100" s="33">
        <v>88</v>
      </c>
      <c r="C100" s="34">
        <f t="shared" si="23"/>
        <v>47481</v>
      </c>
      <c r="D100" s="29">
        <v>47483</v>
      </c>
      <c r="E100" s="35">
        <f t="shared" si="24"/>
        <v>1.0391289634385628</v>
      </c>
      <c r="F100" s="35">
        <f t="shared" si="29"/>
        <v>-0.52255620590741381</v>
      </c>
      <c r="G100" s="35">
        <f t="shared" si="22"/>
        <v>0.80614176387899672</v>
      </c>
      <c r="H100" s="35">
        <f t="shared" si="28"/>
        <v>2.9338276082061436</v>
      </c>
      <c r="I100" s="35">
        <f t="shared" si="30"/>
        <v>8.6624153268122157</v>
      </c>
      <c r="J100" s="35">
        <f t="shared" si="26"/>
        <v>8.9551380263010714</v>
      </c>
      <c r="K100" s="35">
        <f t="shared" si="31"/>
        <v>299.26377210233431</v>
      </c>
      <c r="L100" s="32">
        <f t="shared" si="25"/>
        <v>137.78354238791971</v>
      </c>
      <c r="N100" s="50"/>
      <c r="O100" s="50"/>
      <c r="P100" s="50"/>
      <c r="Q100" s="50"/>
      <c r="R100" s="51"/>
      <c r="S100" s="51"/>
      <c r="T100" s="51"/>
      <c r="U100" s="51"/>
    </row>
    <row r="101" spans="2:21" x14ac:dyDescent="0.25">
      <c r="B101" s="33">
        <v>89</v>
      </c>
      <c r="C101" s="34">
        <f t="shared" si="23"/>
        <v>47512</v>
      </c>
      <c r="D101" s="29">
        <v>47514</v>
      </c>
      <c r="E101" s="35">
        <f t="shared" si="24"/>
        <v>1.039259890427793</v>
      </c>
      <c r="F101" s="35">
        <f t="shared" si="29"/>
        <v>-0.51827868135119559</v>
      </c>
      <c r="G101" s="35">
        <f t="shared" si="22"/>
        <v>0.80426770547941384</v>
      </c>
      <c r="H101" s="35">
        <f t="shared" si="28"/>
        <v>2.9316161816636748</v>
      </c>
      <c r="I101" s="35">
        <f t="shared" si="30"/>
        <v>8.6659008188427382</v>
      </c>
      <c r="J101" s="35">
        <f t="shared" si="26"/>
        <v>8.9619957568756323</v>
      </c>
      <c r="K101" s="35">
        <f t="shared" si="31"/>
        <v>297.88653344863701</v>
      </c>
      <c r="L101" s="32">
        <f t="shared" si="25"/>
        <v>132.9041463341957</v>
      </c>
      <c r="N101" s="50"/>
      <c r="O101" s="50"/>
      <c r="P101" s="50"/>
      <c r="Q101" s="50"/>
      <c r="R101" s="51"/>
      <c r="S101" s="51"/>
      <c r="T101" s="51"/>
      <c r="U101" s="51"/>
    </row>
    <row r="102" spans="2:21" x14ac:dyDescent="0.25">
      <c r="B102" s="33">
        <v>90</v>
      </c>
      <c r="C102" s="34">
        <f t="shared" si="23"/>
        <v>47540</v>
      </c>
      <c r="D102" s="29">
        <v>47542</v>
      </c>
      <c r="E102" s="35">
        <f t="shared" si="24"/>
        <v>1.0393716701133571</v>
      </c>
      <c r="F102" s="35">
        <f t="shared" si="29"/>
        <v>-0.51441511078428881</v>
      </c>
      <c r="G102" s="35">
        <f t="shared" si="22"/>
        <v>0.8025813437952829</v>
      </c>
      <c r="H102" s="35">
        <f t="shared" si="28"/>
        <v>2.9296187641414448</v>
      </c>
      <c r="I102" s="35">
        <f t="shared" si="30"/>
        <v>8.6690490051928837</v>
      </c>
      <c r="J102" s="35">
        <f t="shared" si="26"/>
        <v>8.9685205348900858</v>
      </c>
      <c r="K102" s="35">
        <f t="shared" si="31"/>
        <v>296.64257595497497</v>
      </c>
      <c r="L102" s="32">
        <f t="shared" si="25"/>
        <v>128.1292693579359</v>
      </c>
      <c r="N102" s="50"/>
      <c r="O102" s="50"/>
      <c r="P102" s="50"/>
      <c r="Q102" s="50"/>
      <c r="R102" s="51"/>
      <c r="S102" s="51"/>
      <c r="T102" s="51"/>
      <c r="U102" s="51"/>
    </row>
    <row r="103" spans="2:21" x14ac:dyDescent="0.25">
      <c r="B103" s="33">
        <v>91</v>
      </c>
      <c r="C103" s="34">
        <f t="shared" si="23"/>
        <v>47571</v>
      </c>
      <c r="D103" s="29">
        <v>47573</v>
      </c>
      <c r="E103" s="35">
        <f t="shared" si="24"/>
        <v>1.0394882528023721</v>
      </c>
      <c r="F103" s="35">
        <f t="shared" si="29"/>
        <v>-0.51013758622807071</v>
      </c>
      <c r="G103" s="35">
        <f t="shared" si="22"/>
        <v>0.80072128694714007</v>
      </c>
      <c r="H103" s="35">
        <f t="shared" si="28"/>
        <v>2.927407337598976</v>
      </c>
      <c r="I103" s="35">
        <f t="shared" si="30"/>
        <v>8.6725344972234044</v>
      </c>
      <c r="J103" s="35">
        <f t="shared" si="26"/>
        <v>8.9750443091144412</v>
      </c>
      <c r="K103" s="35">
        <f t="shared" si="31"/>
        <v>295.26533730127767</v>
      </c>
      <c r="L103" s="32">
        <f t="shared" si="25"/>
        <v>123.21196330498906</v>
      </c>
      <c r="N103" s="50"/>
      <c r="O103" s="50"/>
      <c r="P103" s="50"/>
      <c r="Q103" s="50"/>
      <c r="R103" s="51"/>
      <c r="S103" s="51"/>
      <c r="T103" s="51"/>
      <c r="U103" s="51"/>
    </row>
    <row r="104" spans="2:21" x14ac:dyDescent="0.25">
      <c r="B104" s="33">
        <v>92</v>
      </c>
      <c r="C104" s="34">
        <f t="shared" si="23"/>
        <v>47601</v>
      </c>
      <c r="D104" s="29">
        <v>47603</v>
      </c>
      <c r="E104" s="35">
        <f t="shared" si="24"/>
        <v>1.0395938951342429</v>
      </c>
      <c r="F104" s="35">
        <f t="shared" si="29"/>
        <v>-0.50599804633495626</v>
      </c>
      <c r="G104" s="35">
        <f t="shared" si="22"/>
        <v>0.79892819397568238</v>
      </c>
      <c r="H104" s="35">
        <f t="shared" si="28"/>
        <v>2.9252672473965866</v>
      </c>
      <c r="I104" s="35">
        <f t="shared" si="30"/>
        <v>8.6759075540271322</v>
      </c>
      <c r="J104" s="35">
        <f t="shared" si="26"/>
        <v>8.9817880667335377</v>
      </c>
      <c r="K104" s="35">
        <f t="shared" si="31"/>
        <v>293.93252570092545</v>
      </c>
      <c r="L104" s="32">
        <f t="shared" si="25"/>
        <v>117.95798422913374</v>
      </c>
      <c r="N104" s="50"/>
      <c r="O104" s="50"/>
      <c r="P104" s="50"/>
      <c r="Q104" s="50"/>
      <c r="R104" s="51"/>
      <c r="S104" s="51"/>
      <c r="T104" s="51"/>
      <c r="U104" s="51"/>
    </row>
    <row r="105" spans="2:21" x14ac:dyDescent="0.25">
      <c r="B105" s="33">
        <v>93</v>
      </c>
      <c r="C105" s="34">
        <f t="shared" si="23"/>
        <v>47632</v>
      </c>
      <c r="D105" s="29">
        <v>47634</v>
      </c>
      <c r="E105" s="35">
        <f t="shared" si="24"/>
        <v>1.0396956376162982</v>
      </c>
      <c r="F105" s="35">
        <f t="shared" si="29"/>
        <v>-0.50172052177873805</v>
      </c>
      <c r="G105" s="35">
        <f t="shared" si="22"/>
        <v>0.79708249534886833</v>
      </c>
      <c r="H105" s="35">
        <f t="shared" si="28"/>
        <v>2.9230558208541173</v>
      </c>
      <c r="I105" s="35">
        <f t="shared" si="30"/>
        <v>8.6793930460576512</v>
      </c>
      <c r="J105" s="35">
        <f t="shared" si="26"/>
        <v>8.9885307111886608</v>
      </c>
      <c r="K105" s="35">
        <f t="shared" si="31"/>
        <v>292.55528704722815</v>
      </c>
      <c r="L105" s="32">
        <f t="shared" si="25"/>
        <v>112.50804835065665</v>
      </c>
      <c r="N105" s="50"/>
      <c r="O105" s="50"/>
      <c r="P105" s="50"/>
      <c r="Q105" s="50"/>
      <c r="R105" s="51"/>
      <c r="S105" s="51"/>
      <c r="T105" s="51"/>
      <c r="U105" s="51"/>
    </row>
    <row r="106" spans="2:21" x14ac:dyDescent="0.25">
      <c r="B106" s="33">
        <v>94</v>
      </c>
      <c r="C106" s="34">
        <f t="shared" si="23"/>
        <v>47662</v>
      </c>
      <c r="D106" s="29">
        <v>47664</v>
      </c>
      <c r="E106" s="35">
        <f t="shared" si="24"/>
        <v>1.039786914152159</v>
      </c>
      <c r="F106" s="35">
        <f t="shared" si="29"/>
        <v>-0.49758098188562372</v>
      </c>
      <c r="G106" s="35">
        <f t="shared" si="22"/>
        <v>0.79530323982064455</v>
      </c>
      <c r="H106" s="35">
        <f t="shared" si="28"/>
        <v>2.9209157306517288</v>
      </c>
      <c r="I106" s="35">
        <f t="shared" si="30"/>
        <v>8.6827661028613807</v>
      </c>
      <c r="J106" s="35">
        <f t="shared" si="26"/>
        <v>8.9952722021190912</v>
      </c>
      <c r="K106" s="35">
        <f t="shared" si="31"/>
        <v>291.22247544687588</v>
      </c>
      <c r="L106" s="32">
        <f t="shared" si="25"/>
        <v>106.83160675915111</v>
      </c>
      <c r="N106" s="50"/>
      <c r="O106" s="50"/>
      <c r="P106" s="50"/>
      <c r="Q106" s="50"/>
      <c r="R106" s="51"/>
      <c r="S106" s="51"/>
      <c r="T106" s="51"/>
      <c r="U106" s="51"/>
    </row>
    <row r="107" spans="2:21" x14ac:dyDescent="0.25">
      <c r="B107" s="33">
        <v>95</v>
      </c>
      <c r="C107" s="34">
        <f t="shared" si="23"/>
        <v>47693</v>
      </c>
      <c r="D107" s="29">
        <v>47695</v>
      </c>
      <c r="E107" s="35">
        <f t="shared" si="24"/>
        <v>1.0398738078439407</v>
      </c>
      <c r="F107" s="35">
        <f t="shared" si="29"/>
        <v>-0.4933034573294055</v>
      </c>
      <c r="G107" s="35">
        <f t="shared" si="22"/>
        <v>0.79347178064788793</v>
      </c>
      <c r="H107" s="35">
        <f t="shared" si="28"/>
        <v>2.9187043041092591</v>
      </c>
      <c r="I107" s="35">
        <f t="shared" si="30"/>
        <v>8.6862515948919015</v>
      </c>
      <c r="J107" s="35">
        <f t="shared" si="26"/>
        <v>9.0020125849475825</v>
      </c>
      <c r="K107" s="35">
        <f t="shared" si="31"/>
        <v>289.84523679317863</v>
      </c>
      <c r="L107" s="32">
        <f t="shared" si="25"/>
        <v>100.89103141588122</v>
      </c>
      <c r="N107" s="50"/>
      <c r="O107" s="50"/>
      <c r="P107" s="50"/>
      <c r="Q107" s="50"/>
      <c r="R107" s="51"/>
      <c r="S107" s="51"/>
      <c r="T107" s="51"/>
      <c r="U107" s="51"/>
    </row>
    <row r="108" spans="2:21" x14ac:dyDescent="0.25">
      <c r="B108" s="33">
        <v>96</v>
      </c>
      <c r="C108" s="34">
        <f t="shared" si="23"/>
        <v>47723</v>
      </c>
      <c r="D108" s="29">
        <v>47725</v>
      </c>
      <c r="E108" s="35">
        <f t="shared" si="24"/>
        <v>1.0399507108829402</v>
      </c>
      <c r="F108" s="35">
        <f t="shared" si="29"/>
        <v>-0.48916391743629106</v>
      </c>
      <c r="G108" s="35">
        <f t="shared" ref="G108:G127" si="32">EXP(-H108/100*(D108-$C$12)/365)</f>
        <v>0.79170624818880675</v>
      </c>
      <c r="H108" s="35">
        <f>Rates!G28</f>
        <v>2.9165642139068702</v>
      </c>
      <c r="I108" s="35">
        <f t="shared" si="30"/>
        <v>8.689624651695631</v>
      </c>
      <c r="J108" s="35">
        <f t="shared" si="26"/>
        <v>9.0087518193622298</v>
      </c>
      <c r="K108" s="35">
        <f t="shared" si="31"/>
        <v>288.51242519282641</v>
      </c>
      <c r="L108" s="32">
        <f t="shared" si="25"/>
        <v>94.635958263045538</v>
      </c>
      <c r="N108" s="50"/>
      <c r="O108" s="50"/>
      <c r="P108" s="50"/>
      <c r="Q108" s="50"/>
      <c r="R108" s="51"/>
      <c r="S108" s="51"/>
      <c r="T108" s="51"/>
      <c r="U108" s="51"/>
    </row>
    <row r="109" spans="2:21" x14ac:dyDescent="0.25">
      <c r="B109" s="33">
        <v>97</v>
      </c>
      <c r="C109" s="34">
        <f t="shared" si="23"/>
        <v>47754</v>
      </c>
      <c r="D109" s="29">
        <v>47756</v>
      </c>
      <c r="E109" s="35">
        <f t="shared" si="24"/>
        <v>1.0400227484529518</v>
      </c>
      <c r="F109" s="35">
        <f t="shared" si="29"/>
        <v>-0.48488639288007296</v>
      </c>
      <c r="G109" s="35">
        <f t="shared" si="32"/>
        <v>0.78982262722956098</v>
      </c>
      <c r="H109" s="35">
        <f t="shared" ref="H109:H119" si="33">($H$108*($D$120-D109)+$H$120*(D109-$D$108))/($D$120-$D$108)</f>
        <v>2.9153896969143345</v>
      </c>
      <c r="I109" s="35">
        <f t="shared" si="30"/>
        <v>8.69311014372615</v>
      </c>
      <c r="J109" s="35">
        <f t="shared" si="26"/>
        <v>9.0154899507056765</v>
      </c>
      <c r="K109" s="35">
        <f t="shared" si="31"/>
        <v>287.13518653912911</v>
      </c>
      <c r="L109" s="32">
        <f t="shared" si="25"/>
        <v>88.000032562024529</v>
      </c>
      <c r="N109" s="50"/>
      <c r="O109" s="50"/>
      <c r="P109" s="50"/>
      <c r="Q109" s="50"/>
      <c r="R109" s="51"/>
      <c r="S109" s="51"/>
      <c r="T109" s="51"/>
      <c r="U109" s="51"/>
    </row>
    <row r="110" spans="2:21" x14ac:dyDescent="0.25">
      <c r="B110" s="33">
        <v>98</v>
      </c>
      <c r="C110" s="34">
        <f t="shared" si="23"/>
        <v>47785</v>
      </c>
      <c r="D110" s="29">
        <v>47787</v>
      </c>
      <c r="E110" s="35">
        <f t="shared" si="24"/>
        <v>1.0400872337823213</v>
      </c>
      <c r="F110" s="35">
        <f t="shared" si="29"/>
        <v>-0.48060886832385469</v>
      </c>
      <c r="G110" s="35">
        <f t="shared" si="32"/>
        <v>0.78794505976967688</v>
      </c>
      <c r="H110" s="35">
        <f t="shared" si="33"/>
        <v>2.9142151799217992</v>
      </c>
      <c r="I110" s="35">
        <f t="shared" si="30"/>
        <v>8.6965956357566689</v>
      </c>
      <c r="J110" s="35">
        <f t="shared" si="26"/>
        <v>9.02233738266656</v>
      </c>
      <c r="K110" s="35">
        <f t="shared" si="31"/>
        <v>285.75794788543186</v>
      </c>
      <c r="L110" s="32">
        <f t="shared" si="25"/>
        <v>80.767796997887956</v>
      </c>
      <c r="N110" s="50"/>
      <c r="O110" s="50"/>
      <c r="P110" s="50"/>
      <c r="Q110" s="50"/>
      <c r="R110" s="51"/>
      <c r="S110" s="51"/>
      <c r="T110" s="51"/>
      <c r="U110" s="51"/>
    </row>
    <row r="111" spans="2:21" x14ac:dyDescent="0.25">
      <c r="B111" s="33">
        <v>99</v>
      </c>
      <c r="C111" s="34">
        <f t="shared" si="23"/>
        <v>47815</v>
      </c>
      <c r="D111" s="29">
        <v>47817</v>
      </c>
      <c r="E111" s="35">
        <f t="shared" si="24"/>
        <v>1.0401424468757907</v>
      </c>
      <c r="F111" s="35">
        <f t="shared" si="29"/>
        <v>-0.4764693284307403</v>
      </c>
      <c r="G111" s="35">
        <f t="shared" si="32"/>
        <v>0.7861338021367571</v>
      </c>
      <c r="H111" s="35">
        <f t="shared" si="33"/>
        <v>2.9130785505741845</v>
      </c>
      <c r="I111" s="35">
        <f t="shared" si="30"/>
        <v>8.6999686925603967</v>
      </c>
      <c r="J111" s="35">
        <f t="shared" si="26"/>
        <v>9.0290732329124879</v>
      </c>
      <c r="K111" s="35">
        <f t="shared" si="31"/>
        <v>284.42513628507965</v>
      </c>
      <c r="L111" s="32">
        <f t="shared" si="25"/>
        <v>73.031716966856834</v>
      </c>
      <c r="N111" s="50"/>
      <c r="O111" s="50"/>
      <c r="P111" s="50"/>
      <c r="Q111" s="50"/>
      <c r="R111" s="51"/>
      <c r="S111" s="51"/>
      <c r="T111" s="51"/>
      <c r="U111" s="51"/>
    </row>
    <row r="112" spans="2:21" x14ac:dyDescent="0.25">
      <c r="B112" s="33">
        <v>100</v>
      </c>
      <c r="C112" s="34">
        <f t="shared" si="23"/>
        <v>47846</v>
      </c>
      <c r="D112" s="29">
        <v>47848</v>
      </c>
      <c r="E112" s="35">
        <f t="shared" si="24"/>
        <v>1.0401920673960041</v>
      </c>
      <c r="F112" s="35">
        <f t="shared" si="29"/>
        <v>-0.47219180387452214</v>
      </c>
      <c r="G112" s="35">
        <f t="shared" si="32"/>
        <v>0.78426808261719483</v>
      </c>
      <c r="H112" s="35">
        <f t="shared" si="33"/>
        <v>2.9119040335816493</v>
      </c>
      <c r="I112" s="35">
        <f t="shared" si="30"/>
        <v>8.7034541845909175</v>
      </c>
      <c r="J112" s="35">
        <f t="shared" si="26"/>
        <v>9.0358079876149358</v>
      </c>
      <c r="K112" s="35">
        <f t="shared" si="31"/>
        <v>283.04789763138234</v>
      </c>
      <c r="L112" s="32">
        <f t="shared" si="25"/>
        <v>64.458537779772783</v>
      </c>
      <c r="N112" s="50"/>
      <c r="O112" s="50"/>
      <c r="P112" s="50"/>
      <c r="Q112" s="50"/>
      <c r="R112" s="51"/>
      <c r="S112" s="51"/>
      <c r="T112" s="51"/>
      <c r="U112" s="51"/>
    </row>
    <row r="113" spans="2:25" x14ac:dyDescent="0.25">
      <c r="B113" s="33">
        <v>101</v>
      </c>
      <c r="C113" s="34">
        <f t="shared" si="23"/>
        <v>47877</v>
      </c>
      <c r="D113" s="29">
        <v>47879</v>
      </c>
      <c r="E113" s="35">
        <f t="shared" si="24"/>
        <v>1.0402341319853354</v>
      </c>
      <c r="F113" s="35">
        <f t="shared" si="29"/>
        <v>-0.46791427931830393</v>
      </c>
      <c r="G113" s="35">
        <f t="shared" si="32"/>
        <v>0.78240835193952718</v>
      </c>
      <c r="H113" s="35">
        <f t="shared" si="33"/>
        <v>2.9107295165891145</v>
      </c>
      <c r="I113" s="35">
        <f t="shared" si="30"/>
        <v>8.7069396766214382</v>
      </c>
      <c r="J113" s="35">
        <f t="shared" ref="J113:J126" si="34">MAX((I113^2*(C113-$C$12)-I112^2*(C112-$C$12))/(C113-C112),1)^0.5</f>
        <v>9.0426519953420197</v>
      </c>
      <c r="K113" s="35">
        <f t="shared" si="31"/>
        <v>281.67065897768504</v>
      </c>
      <c r="L113" s="32">
        <f t="shared" si="25"/>
        <v>54.480358179022758</v>
      </c>
      <c r="N113" s="50"/>
      <c r="O113" s="50"/>
      <c r="P113" s="50"/>
      <c r="Q113" s="50"/>
      <c r="R113" s="51"/>
      <c r="S113" s="51"/>
      <c r="T113" s="51"/>
      <c r="U113" s="51"/>
    </row>
    <row r="114" spans="2:25" x14ac:dyDescent="0.25">
      <c r="B114" s="33">
        <v>102</v>
      </c>
      <c r="C114" s="34">
        <f t="shared" si="23"/>
        <v>47905</v>
      </c>
      <c r="D114" s="29">
        <v>47907</v>
      </c>
      <c r="E114" s="35">
        <f t="shared" si="24"/>
        <v>1.0402656305582421</v>
      </c>
      <c r="F114" s="35">
        <f t="shared" si="29"/>
        <v>-0.46405070875139715</v>
      </c>
      <c r="G114" s="35">
        <f t="shared" si="32"/>
        <v>0.78073372475635228</v>
      </c>
      <c r="H114" s="35">
        <f t="shared" si="33"/>
        <v>2.9096686625313399</v>
      </c>
      <c r="I114" s="35">
        <f t="shared" si="30"/>
        <v>8.7100878629715854</v>
      </c>
      <c r="J114" s="35">
        <f t="shared" si="34"/>
        <v>9.0491637438555284</v>
      </c>
      <c r="K114" s="35">
        <f t="shared" si="31"/>
        <v>280.42670148402294</v>
      </c>
      <c r="L114" s="32">
        <f t="shared" si="25"/>
        <v>43.002580663937231</v>
      </c>
      <c r="N114" s="50"/>
      <c r="O114" s="50"/>
      <c r="P114" s="50"/>
      <c r="Q114" s="50"/>
      <c r="R114" s="51"/>
      <c r="S114" s="51"/>
      <c r="T114" s="51"/>
      <c r="U114" s="51"/>
    </row>
    <row r="115" spans="2:25" x14ac:dyDescent="0.25">
      <c r="B115" s="33">
        <v>103</v>
      </c>
      <c r="C115" s="34">
        <f t="shared" si="23"/>
        <v>47936</v>
      </c>
      <c r="D115" s="29">
        <v>47938</v>
      </c>
      <c r="E115" s="35">
        <f t="shared" si="24"/>
        <v>1.0402933121089097</v>
      </c>
      <c r="F115" s="35">
        <f t="shared" si="29"/>
        <v>-0.45977318419517893</v>
      </c>
      <c r="G115" s="35">
        <f t="shared" si="32"/>
        <v>0.77888533255788284</v>
      </c>
      <c r="H115" s="35">
        <f t="shared" si="33"/>
        <v>2.9084941455388051</v>
      </c>
      <c r="I115" s="35">
        <f t="shared" si="30"/>
        <v>8.7135733550021044</v>
      </c>
      <c r="J115" s="35">
        <f t="shared" si="34"/>
        <v>9.0556745162729388</v>
      </c>
      <c r="K115" s="35">
        <f t="shared" si="31"/>
        <v>279.04946283032564</v>
      </c>
      <c r="L115" s="32">
        <f t="shared" si="25"/>
        <v>27.217919503516352</v>
      </c>
      <c r="N115" s="50"/>
      <c r="O115" s="50"/>
      <c r="P115" s="50"/>
      <c r="Q115" s="50"/>
      <c r="R115" s="51"/>
      <c r="S115" s="51"/>
      <c r="T115" s="51"/>
      <c r="U115" s="51"/>
    </row>
    <row r="116" spans="2:25" x14ac:dyDescent="0.25">
      <c r="B116" s="33">
        <v>104</v>
      </c>
      <c r="C116" s="34">
        <f t="shared" si="23"/>
        <v>47966</v>
      </c>
      <c r="D116" s="29">
        <v>47968</v>
      </c>
      <c r="E116" s="35">
        <f t="shared" si="24"/>
        <v>1.040312904357499</v>
      </c>
      <c r="F116" s="35">
        <f t="shared" si="29"/>
        <v>-0.45563364430206454</v>
      </c>
      <c r="G116" s="35">
        <f t="shared" si="32"/>
        <v>0.77710220879240899</v>
      </c>
      <c r="H116" s="35">
        <f t="shared" si="33"/>
        <v>2.90735751619119</v>
      </c>
      <c r="I116" s="35">
        <f t="shared" si="30"/>
        <v>8.7169464118058322</v>
      </c>
      <c r="J116" s="35">
        <f t="shared" si="34"/>
        <v>9.0624048613411095</v>
      </c>
      <c r="K116" s="35">
        <f t="shared" si="31"/>
        <v>277.71665122997348</v>
      </c>
      <c r="L116" s="32">
        <f t="shared" si="25"/>
        <v>1</v>
      </c>
      <c r="N116" s="50"/>
      <c r="O116" s="50"/>
      <c r="P116" s="50"/>
      <c r="Q116" s="50"/>
      <c r="R116" s="51"/>
      <c r="S116" s="51"/>
      <c r="T116" s="51"/>
      <c r="U116" s="51"/>
    </row>
    <row r="117" spans="2:25" x14ac:dyDescent="0.25">
      <c r="B117" s="33">
        <v>105</v>
      </c>
      <c r="C117" s="34">
        <f t="shared" si="23"/>
        <v>47997</v>
      </c>
      <c r="D117" s="29">
        <v>47999</v>
      </c>
      <c r="E117" s="35">
        <f t="shared" si="24"/>
        <v>1.0403257130244079</v>
      </c>
      <c r="F117" s="35">
        <f t="shared" si="29"/>
        <v>-0.45135611974584633</v>
      </c>
      <c r="G117" s="35">
        <f t="shared" si="32"/>
        <v>0.77526545774957456</v>
      </c>
      <c r="H117" s="35">
        <f t="shared" si="33"/>
        <v>2.9061829991986543</v>
      </c>
      <c r="I117" s="35">
        <f t="shared" si="30"/>
        <v>8.7204319038363529</v>
      </c>
      <c r="J117" s="35">
        <f t="shared" si="34"/>
        <v>9.0691341230658722</v>
      </c>
      <c r="K117" s="35">
        <f t="shared" si="31"/>
        <v>276.33941257627617</v>
      </c>
      <c r="L117" s="32">
        <f t="shared" si="25"/>
        <v>1</v>
      </c>
      <c r="N117" s="50"/>
      <c r="O117" s="50"/>
      <c r="P117" s="50"/>
      <c r="Q117" s="50"/>
      <c r="R117" s="51"/>
      <c r="S117" s="51"/>
      <c r="T117" s="51"/>
      <c r="U117" s="51"/>
    </row>
    <row r="118" spans="2:25" x14ac:dyDescent="0.25">
      <c r="B118" s="33">
        <v>106</v>
      </c>
      <c r="C118" s="34">
        <f t="shared" si="23"/>
        <v>48027</v>
      </c>
      <c r="D118" s="29">
        <v>48029</v>
      </c>
      <c r="E118" s="35">
        <f t="shared" si="24"/>
        <v>1.0403309114839125</v>
      </c>
      <c r="F118" s="35">
        <f t="shared" si="29"/>
        <v>-0.44721657985273194</v>
      </c>
      <c r="G118" s="35">
        <f t="shared" si="32"/>
        <v>0.77349355967211453</v>
      </c>
      <c r="H118" s="35">
        <f t="shared" si="33"/>
        <v>2.9050463698510396</v>
      </c>
      <c r="I118" s="35">
        <f t="shared" si="30"/>
        <v>8.7238049606400807</v>
      </c>
      <c r="J118" s="35">
        <f t="shared" si="34"/>
        <v>9.0758622613730431</v>
      </c>
      <c r="K118" s="35">
        <f t="shared" si="31"/>
        <v>275.00660097592396</v>
      </c>
      <c r="L118" s="32">
        <f t="shared" si="25"/>
        <v>1</v>
      </c>
      <c r="N118" s="50"/>
      <c r="O118" s="50"/>
      <c r="P118" s="50"/>
      <c r="Q118" s="50"/>
      <c r="R118" s="51"/>
      <c r="S118" s="51"/>
      <c r="T118" s="51"/>
      <c r="U118" s="51"/>
    </row>
    <row r="119" spans="2:25" x14ac:dyDescent="0.25">
      <c r="B119" s="33">
        <v>107</v>
      </c>
      <c r="C119" s="34">
        <f t="shared" si="23"/>
        <v>48058</v>
      </c>
      <c r="D119" s="29">
        <v>48060</v>
      </c>
      <c r="E119" s="35">
        <f t="shared" si="24"/>
        <v>1.0403288461860158</v>
      </c>
      <c r="F119" s="35">
        <f t="shared" si="29"/>
        <v>-0.44293905529651378</v>
      </c>
      <c r="G119" s="35">
        <f t="shared" si="32"/>
        <v>0.77166836739288469</v>
      </c>
      <c r="H119" s="35">
        <f t="shared" si="33"/>
        <v>2.9038718528585044</v>
      </c>
      <c r="I119" s="35">
        <f t="shared" si="30"/>
        <v>8.7272904526705997</v>
      </c>
      <c r="J119" s="35">
        <f t="shared" si="34"/>
        <v>9.0825893212114401</v>
      </c>
      <c r="K119" s="35">
        <f t="shared" si="31"/>
        <v>273.62936232222671</v>
      </c>
      <c r="L119" s="32">
        <f t="shared" si="25"/>
        <v>1</v>
      </c>
      <c r="N119" s="50"/>
      <c r="O119" s="50"/>
      <c r="P119" s="50"/>
      <c r="Q119" s="50"/>
      <c r="R119" s="51"/>
      <c r="S119" s="51"/>
      <c r="T119" s="51"/>
      <c r="U119" s="51"/>
    </row>
    <row r="120" spans="2:25" x14ac:dyDescent="0.25">
      <c r="B120" s="33">
        <v>108</v>
      </c>
      <c r="C120" s="34">
        <f t="shared" si="23"/>
        <v>48087</v>
      </c>
      <c r="D120" s="29">
        <v>48089</v>
      </c>
      <c r="E120" s="35">
        <f t="shared" si="24"/>
        <v>1.0403200709939864</v>
      </c>
      <c r="F120" s="35">
        <f t="shared" si="29"/>
        <v>-0.43893750006650323</v>
      </c>
      <c r="G120" s="35">
        <f t="shared" si="32"/>
        <v>0.76996621935453102</v>
      </c>
      <c r="H120" s="35">
        <f>Rates!G29</f>
        <v>2.9027731111558102</v>
      </c>
      <c r="I120" s="35">
        <f t="shared" si="30"/>
        <v>8.7305510742475381</v>
      </c>
      <c r="J120" s="35">
        <f t="shared" si="34"/>
        <v>9.0892049996242097</v>
      </c>
      <c r="K120" s="35">
        <f t="shared" si="31"/>
        <v>272.34097777521959</v>
      </c>
      <c r="L120" s="32">
        <f t="shared" si="25"/>
        <v>1</v>
      </c>
      <c r="N120" s="50"/>
      <c r="O120" s="50"/>
      <c r="P120" s="50"/>
      <c r="Q120" s="50"/>
      <c r="R120" s="51"/>
      <c r="S120" s="51"/>
      <c r="T120" s="51"/>
      <c r="U120" s="51"/>
    </row>
    <row r="121" spans="2:25" x14ac:dyDescent="0.25">
      <c r="B121" s="33">
        <v>109</v>
      </c>
      <c r="C121" s="34">
        <f t="shared" si="23"/>
        <v>48119</v>
      </c>
      <c r="D121" s="29">
        <v>48121</v>
      </c>
      <c r="E121" s="35">
        <f t="shared" si="24"/>
        <v>1.0403027113292944</v>
      </c>
      <c r="F121" s="35">
        <f t="shared" si="29"/>
        <v>-0.43452199084718113</v>
      </c>
      <c r="G121" s="35">
        <f t="shared" si="32"/>
        <v>0.76800849910351632</v>
      </c>
      <c r="H121" s="35">
        <f t="shared" ref="H121:H126" si="35">($H$120*($D$127-D121)+$H$127*(D121-$D$120))/($D$127-$D$120)</f>
        <v>2.9027835180612094</v>
      </c>
      <c r="I121" s="35">
        <f t="shared" si="30"/>
        <v>8.73414900150485</v>
      </c>
      <c r="J121" s="35">
        <f t="shared" si="34"/>
        <v>9.0959299064745665</v>
      </c>
      <c r="K121" s="35">
        <f t="shared" si="31"/>
        <v>270.91931206817719</v>
      </c>
      <c r="L121" s="32">
        <f t="shared" si="25"/>
        <v>1</v>
      </c>
      <c r="N121" s="50"/>
      <c r="O121" s="50"/>
      <c r="P121" s="50"/>
      <c r="Q121" s="50"/>
      <c r="R121" s="51"/>
      <c r="S121" s="51"/>
      <c r="T121" s="51"/>
      <c r="U121" s="51"/>
    </row>
    <row r="122" spans="2:25" x14ac:dyDescent="0.25">
      <c r="B122" s="33">
        <v>110</v>
      </c>
      <c r="C122" s="34">
        <f t="shared" si="23"/>
        <v>48150</v>
      </c>
      <c r="D122" s="29">
        <v>48152</v>
      </c>
      <c r="E122" s="35">
        <f t="shared" si="24"/>
        <v>1.0402782138983644</v>
      </c>
      <c r="F122" s="35">
        <f t="shared" si="29"/>
        <v>-0.43024446629096297</v>
      </c>
      <c r="G122" s="35">
        <f t="shared" si="32"/>
        <v>0.76611669121514969</v>
      </c>
      <c r="H122" s="35">
        <f t="shared" si="35"/>
        <v>2.9027935997508147</v>
      </c>
      <c r="I122" s="35">
        <f t="shared" si="30"/>
        <v>8.7376344935353689</v>
      </c>
      <c r="J122" s="35">
        <f t="shared" si="34"/>
        <v>9.1028741115445388</v>
      </c>
      <c r="K122" s="35">
        <f t="shared" si="31"/>
        <v>269.54207341447989</v>
      </c>
      <c r="L122" s="32">
        <f t="shared" si="25"/>
        <v>1</v>
      </c>
      <c r="N122" s="50"/>
      <c r="O122" s="50"/>
      <c r="P122" s="50"/>
      <c r="Q122" s="50"/>
      <c r="R122" s="51"/>
      <c r="S122" s="51"/>
      <c r="T122" s="51"/>
      <c r="U122" s="51"/>
    </row>
    <row r="123" spans="2:25" x14ac:dyDescent="0.25">
      <c r="B123" s="33">
        <v>111</v>
      </c>
      <c r="C123" s="34">
        <f t="shared" si="23"/>
        <v>48180</v>
      </c>
      <c r="D123" s="29">
        <v>48182</v>
      </c>
      <c r="E123" s="35">
        <f t="shared" si="24"/>
        <v>1.0402473106600107</v>
      </c>
      <c r="F123" s="35">
        <f t="shared" si="29"/>
        <v>-0.42610492639784858</v>
      </c>
      <c r="G123" s="35">
        <f t="shared" si="32"/>
        <v>0.76429033400563795</v>
      </c>
      <c r="H123" s="35">
        <f t="shared" si="35"/>
        <v>2.9028033562246267</v>
      </c>
      <c r="I123" s="35">
        <f t="shared" si="30"/>
        <v>8.7410075503390985</v>
      </c>
      <c r="J123" s="35">
        <f t="shared" si="34"/>
        <v>9.10959675783152</v>
      </c>
      <c r="K123" s="35">
        <f t="shared" si="31"/>
        <v>268.20926181412767</v>
      </c>
      <c r="L123" s="32">
        <f t="shared" si="25"/>
        <v>1</v>
      </c>
      <c r="N123" s="50"/>
      <c r="O123" s="50"/>
      <c r="P123" s="50"/>
      <c r="Q123" s="50"/>
      <c r="R123" s="51"/>
      <c r="S123" s="51"/>
      <c r="T123" s="51"/>
      <c r="U123" s="51"/>
    </row>
    <row r="124" spans="2:25" x14ac:dyDescent="0.25">
      <c r="B124" s="33">
        <v>112</v>
      </c>
      <c r="C124" s="34">
        <f t="shared" si="23"/>
        <v>48211</v>
      </c>
      <c r="D124" s="29">
        <v>48213</v>
      </c>
      <c r="E124" s="35">
        <f t="shared" si="24"/>
        <v>1.0402079420757973</v>
      </c>
      <c r="F124" s="35">
        <f t="shared" si="29"/>
        <v>-0.42182740184163037</v>
      </c>
      <c r="G124" s="35">
        <f t="shared" si="32"/>
        <v>0.7624076592490886</v>
      </c>
      <c r="H124" s="35">
        <f t="shared" si="35"/>
        <v>2.9028134379142316</v>
      </c>
      <c r="I124" s="35">
        <f t="shared" si="30"/>
        <v>8.7444930423696174</v>
      </c>
      <c r="J124" s="35">
        <f t="shared" si="34"/>
        <v>9.116318337742948</v>
      </c>
      <c r="K124" s="35">
        <f t="shared" si="31"/>
        <v>266.83202316043037</v>
      </c>
      <c r="L124" s="32">
        <f t="shared" si="25"/>
        <v>1</v>
      </c>
      <c r="N124" s="50"/>
      <c r="O124" s="50"/>
      <c r="P124" s="50"/>
      <c r="Q124" s="50"/>
      <c r="R124" s="51"/>
      <c r="S124" s="51"/>
      <c r="T124" s="51"/>
      <c r="U124" s="51"/>
    </row>
    <row r="125" spans="2:25" x14ac:dyDescent="0.25">
      <c r="B125" s="33">
        <v>113</v>
      </c>
      <c r="C125" s="34">
        <f t="shared" si="23"/>
        <v>48242</v>
      </c>
      <c r="D125" s="29">
        <v>48244</v>
      </c>
      <c r="E125" s="35">
        <f t="shared" si="24"/>
        <v>1.0401610172146989</v>
      </c>
      <c r="F125" s="35">
        <f t="shared" si="29"/>
        <v>-0.41754987728541215</v>
      </c>
      <c r="G125" s="35">
        <f t="shared" si="32"/>
        <v>0.76052960905715183</v>
      </c>
      <c r="H125" s="35">
        <f t="shared" si="35"/>
        <v>2.9028235196038374</v>
      </c>
      <c r="I125" s="35">
        <f t="shared" si="30"/>
        <v>8.7479785344001382</v>
      </c>
      <c r="J125" s="35">
        <f t="shared" si="34"/>
        <v>9.1231489847836826</v>
      </c>
      <c r="K125" s="35">
        <f t="shared" si="31"/>
        <v>265.45478450673312</v>
      </c>
      <c r="L125" s="32">
        <f t="shared" si="25"/>
        <v>1</v>
      </c>
      <c r="N125" s="50"/>
      <c r="O125" s="50"/>
      <c r="P125" s="50"/>
      <c r="Q125" s="50"/>
      <c r="R125" s="51"/>
      <c r="S125" s="51"/>
      <c r="T125" s="51"/>
      <c r="U125" s="51"/>
    </row>
    <row r="126" spans="2:25" x14ac:dyDescent="0.25">
      <c r="B126" s="33">
        <v>114</v>
      </c>
      <c r="C126" s="34">
        <f t="shared" si="23"/>
        <v>48271</v>
      </c>
      <c r="D126" s="29">
        <v>48273</v>
      </c>
      <c r="E126" s="35">
        <f t="shared" si="24"/>
        <v>1.0401102799174953</v>
      </c>
      <c r="F126" s="35">
        <f t="shared" si="29"/>
        <v>-0.41354832205540154</v>
      </c>
      <c r="G126" s="35">
        <f t="shared" si="32"/>
        <v>0.75877690000957432</v>
      </c>
      <c r="H126" s="35">
        <f t="shared" si="35"/>
        <v>2.9028329508618556</v>
      </c>
      <c r="I126" s="35">
        <f t="shared" si="30"/>
        <v>8.7512391559770748</v>
      </c>
      <c r="J126" s="35">
        <f t="shared" si="34"/>
        <v>9.1297582026256769</v>
      </c>
      <c r="K126" s="35">
        <f t="shared" si="31"/>
        <v>264.16639995972594</v>
      </c>
      <c r="L126" s="32">
        <f t="shared" si="25"/>
        <v>1</v>
      </c>
      <c r="N126" s="50"/>
      <c r="O126" s="50"/>
      <c r="P126" s="50"/>
      <c r="Q126" s="50"/>
      <c r="R126" s="51"/>
      <c r="S126" s="51"/>
      <c r="T126" s="51"/>
      <c r="U126" s="51"/>
    </row>
    <row r="127" spans="2:25" ht="15" x14ac:dyDescent="0.25">
      <c r="B127" s="36"/>
      <c r="C127" s="37"/>
      <c r="D127" s="38">
        <v>48457</v>
      </c>
      <c r="E127" s="39">
        <f t="shared" si="24"/>
        <v>1.0396343729718995</v>
      </c>
      <c r="F127" s="39">
        <f>Rates!N30</f>
        <v>-0.38815914404430002</v>
      </c>
      <c r="G127" s="39">
        <f t="shared" si="32"/>
        <v>0.74774973519831989</v>
      </c>
      <c r="H127" s="39">
        <f>Rates!G30</f>
        <v>2.9028927905679001</v>
      </c>
      <c r="I127" s="40">
        <f>Vols!E13</f>
        <v>8.7719272377066115</v>
      </c>
      <c r="J127" s="39"/>
      <c r="K127" s="40">
        <f>Vols!G13</f>
        <v>255.99182214423237</v>
      </c>
      <c r="L127" s="41"/>
      <c r="N127" s="50">
        <f t="shared" ref="N127:T127" si="36">SUM(N13:N126)</f>
        <v>124641157.8908107</v>
      </c>
      <c r="O127" s="50">
        <f t="shared" si="36"/>
        <v>0</v>
      </c>
      <c r="P127" s="50">
        <f t="shared" si="36"/>
        <v>0</v>
      </c>
      <c r="Q127" s="50">
        <f t="shared" si="36"/>
        <v>-89631743.884860173</v>
      </c>
      <c r="R127" s="52">
        <f t="shared" si="36"/>
        <v>123106763.42594695</v>
      </c>
      <c r="S127" s="52">
        <f t="shared" si="36"/>
        <v>0</v>
      </c>
      <c r="T127" s="52">
        <f t="shared" si="36"/>
        <v>0</v>
      </c>
      <c r="U127" s="52">
        <f t="shared" ref="U127" si="37">SUM(U13:U126)</f>
        <v>-84880394.125736058</v>
      </c>
      <c r="Y127" s="4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</sheetData>
  <mergeCells count="13">
    <mergeCell ref="C2:E2"/>
    <mergeCell ref="O12:P12"/>
    <mergeCell ref="S12:T12"/>
    <mergeCell ref="N10:P11"/>
    <mergeCell ref="Q10:Q11"/>
    <mergeCell ref="O5:P6"/>
    <mergeCell ref="U10:U11"/>
    <mergeCell ref="R10:T11"/>
    <mergeCell ref="S5:S6"/>
    <mergeCell ref="F2:G2"/>
    <mergeCell ref="H2:I2"/>
    <mergeCell ref="Q5:Q6"/>
    <mergeCell ref="R5:R6"/>
  </mergeCells>
  <phoneticPr fontId="1" type="noConversion"/>
  <dataValidations count="2">
    <dataValidation type="list" allowBlank="1" showInputMessage="1" showErrorMessage="1" sqref="Q2">
      <formula1>"YES,NO"</formula1>
    </dataValidation>
    <dataValidation type="whole" operator="greaterThanOrEqual" allowBlank="1" showInputMessage="1" showErrorMessage="1" sqref="B4 B7">
      <formula1>0</formula1>
    </dataValidation>
  </dataValidations>
  <pageMargins left="0.7" right="0.7" top="0.75" bottom="0.75" header="0.3" footer="0.3"/>
  <pageSetup paperSize="9" orientation="portrait" r:id="rId1"/>
  <ignoredErrors>
    <ignoredError sqref="J1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RF">
                <anchor moveWithCells="1" sizeWithCells="1">
                  <from>
                    <xdr:col>17</xdr:col>
                    <xdr:colOff>28575</xdr:colOff>
                    <xdr:row>9</xdr:row>
                    <xdr:rowOff>9525</xdr:rowOff>
                  </from>
                  <to>
                    <xdr:col>19</xdr:col>
                    <xdr:colOff>1257300</xdr:colOff>
                    <xdr:row>10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2:N36"/>
  <sheetViews>
    <sheetView zoomScale="78" zoomScaleNormal="78" workbookViewId="0">
      <selection activeCell="H33" sqref="H33"/>
    </sheetView>
  </sheetViews>
  <sheetFormatPr defaultRowHeight="16.5" x14ac:dyDescent="0.25"/>
  <cols>
    <col min="2" max="2" width="9.5" bestFit="1" customWidth="1"/>
    <col min="3" max="3" width="14" bestFit="1" customWidth="1"/>
    <col min="4" max="4" width="10.5" bestFit="1" customWidth="1"/>
    <col min="5" max="5" width="4.625" bestFit="1" customWidth="1"/>
    <col min="6" max="7" width="9.25" bestFit="1" customWidth="1"/>
    <col min="9" max="9" width="10.75" bestFit="1" customWidth="1"/>
    <col min="10" max="10" width="17.875" bestFit="1" customWidth="1"/>
    <col min="11" max="11" width="12" bestFit="1" customWidth="1"/>
    <col min="13" max="14" width="9.25" bestFit="1" customWidth="1"/>
  </cols>
  <sheetData>
    <row r="2" spans="2:14" x14ac:dyDescent="0.25">
      <c r="H2" s="4"/>
    </row>
    <row r="4" spans="2:14" x14ac:dyDescent="0.25">
      <c r="B4" s="1">
        <v>44802</v>
      </c>
      <c r="C4" s="1" t="s">
        <v>16</v>
      </c>
      <c r="D4" s="1">
        <v>44803</v>
      </c>
      <c r="E4" s="2" t="s">
        <v>17</v>
      </c>
      <c r="F4" s="3">
        <v>0.999936670677533</v>
      </c>
      <c r="G4" s="2">
        <v>2.3115934669784601</v>
      </c>
      <c r="H4" s="4"/>
      <c r="I4" s="5">
        <v>44802</v>
      </c>
      <c r="J4" s="4" t="s">
        <v>45</v>
      </c>
      <c r="K4" s="5">
        <v>44803</v>
      </c>
      <c r="L4" s="4" t="s">
        <v>17</v>
      </c>
      <c r="M4" s="4">
        <v>1.0000051494917901</v>
      </c>
      <c r="N4" s="4">
        <v>-0.18795596657439101</v>
      </c>
    </row>
    <row r="5" spans="2:14" x14ac:dyDescent="0.25">
      <c r="B5" s="1">
        <v>44803</v>
      </c>
      <c r="C5" s="1" t="s">
        <v>16</v>
      </c>
      <c r="D5" s="1">
        <v>44804</v>
      </c>
      <c r="E5" s="2" t="s">
        <v>18</v>
      </c>
      <c r="F5" s="3">
        <v>0.99987334536565997</v>
      </c>
      <c r="G5" s="2">
        <v>2.3115934671460101</v>
      </c>
      <c r="H5" s="4"/>
      <c r="I5" s="5">
        <v>44803</v>
      </c>
      <c r="J5" s="4" t="s">
        <v>45</v>
      </c>
      <c r="K5" s="5">
        <v>44804</v>
      </c>
      <c r="L5" s="4" t="s">
        <v>18</v>
      </c>
      <c r="M5" s="4">
        <v>1.0000117458359401</v>
      </c>
      <c r="N5" s="4">
        <v>-0.214360247008066</v>
      </c>
    </row>
    <row r="6" spans="2:14" x14ac:dyDescent="0.25">
      <c r="B6" s="4"/>
      <c r="C6" s="4"/>
      <c r="D6" s="4"/>
      <c r="E6" s="4"/>
      <c r="F6" s="4"/>
      <c r="G6" s="4"/>
      <c r="H6" s="4"/>
      <c r="I6" s="5">
        <v>44804</v>
      </c>
      <c r="J6" s="4" t="s">
        <v>46</v>
      </c>
      <c r="K6" s="5">
        <v>44811</v>
      </c>
      <c r="L6" s="4" t="s">
        <v>47</v>
      </c>
      <c r="M6" s="4">
        <v>1.00006028145323</v>
      </c>
      <c r="N6" s="4">
        <v>-0.244467414216612</v>
      </c>
    </row>
    <row r="7" spans="2:14" x14ac:dyDescent="0.25">
      <c r="B7" s="1">
        <v>44804</v>
      </c>
      <c r="C7" s="1" t="s">
        <v>19</v>
      </c>
      <c r="D7" s="1">
        <v>44818</v>
      </c>
      <c r="E7" s="2" t="s">
        <v>20</v>
      </c>
      <c r="F7" s="3">
        <v>0.99898229755545398</v>
      </c>
      <c r="G7" s="2">
        <v>2.32281587023687</v>
      </c>
      <c r="H7" s="4"/>
      <c r="I7" s="5">
        <v>44804</v>
      </c>
      <c r="J7" s="4" t="s">
        <v>46</v>
      </c>
      <c r="K7" s="5">
        <v>44818</v>
      </c>
      <c r="L7" s="4" t="s">
        <v>20</v>
      </c>
      <c r="M7" s="4">
        <v>1.00010618866363</v>
      </c>
      <c r="N7" s="4">
        <v>-0.242230028132636</v>
      </c>
    </row>
    <row r="8" spans="2:14" x14ac:dyDescent="0.25">
      <c r="B8" s="4"/>
      <c r="C8" s="4"/>
      <c r="D8" s="4"/>
      <c r="E8" s="4"/>
      <c r="F8" s="4"/>
      <c r="G8" s="4"/>
      <c r="H8" s="4"/>
      <c r="I8" s="5">
        <v>44804</v>
      </c>
      <c r="J8" s="4" t="s">
        <v>46</v>
      </c>
      <c r="K8" s="5">
        <v>44825</v>
      </c>
      <c r="L8" s="4" t="s">
        <v>48</v>
      </c>
      <c r="M8" s="4">
        <v>1.0001103279110899</v>
      </c>
      <c r="N8" s="4">
        <v>-0.175075940362175</v>
      </c>
    </row>
    <row r="9" spans="2:14" x14ac:dyDescent="0.25">
      <c r="B9" s="1">
        <v>44804</v>
      </c>
      <c r="C9" s="1" t="s">
        <v>19</v>
      </c>
      <c r="D9" s="1">
        <v>44834</v>
      </c>
      <c r="E9" s="2" t="s">
        <v>21</v>
      </c>
      <c r="F9" s="3">
        <v>0.99782564084637004</v>
      </c>
      <c r="G9" s="2">
        <v>2.4828286698576201</v>
      </c>
      <c r="H9" s="4"/>
      <c r="I9" s="5">
        <v>44804</v>
      </c>
      <c r="J9" s="4" t="s">
        <v>45</v>
      </c>
      <c r="K9" s="5">
        <v>44834</v>
      </c>
      <c r="L9" s="4" t="s">
        <v>21</v>
      </c>
      <c r="M9" s="4">
        <v>1.00024461270087</v>
      </c>
      <c r="N9" s="4">
        <v>-0.27897724267122198</v>
      </c>
    </row>
    <row r="10" spans="2:14" x14ac:dyDescent="0.25">
      <c r="B10" s="1">
        <v>44804</v>
      </c>
      <c r="C10" s="1" t="s">
        <v>19</v>
      </c>
      <c r="D10" s="1">
        <v>44865</v>
      </c>
      <c r="E10" s="2" t="s">
        <v>22</v>
      </c>
      <c r="F10" s="3">
        <v>0.99528366386666001</v>
      </c>
      <c r="G10" s="2">
        <v>2.7389444389724802</v>
      </c>
      <c r="H10" s="4"/>
      <c r="I10" s="5">
        <v>44804</v>
      </c>
      <c r="J10" s="4" t="s">
        <v>45</v>
      </c>
      <c r="K10" s="5">
        <v>44865</v>
      </c>
      <c r="L10" s="4" t="s">
        <v>22</v>
      </c>
      <c r="M10" s="4">
        <v>1.00066171940999</v>
      </c>
      <c r="N10" s="4">
        <v>-0.38325033042774798</v>
      </c>
    </row>
    <row r="11" spans="2:14" x14ac:dyDescent="0.25">
      <c r="B11" s="1">
        <v>44804</v>
      </c>
      <c r="C11" s="1" t="s">
        <v>19</v>
      </c>
      <c r="D11" s="1">
        <v>44895</v>
      </c>
      <c r="E11" s="2" t="s">
        <v>23</v>
      </c>
      <c r="F11" s="3">
        <v>0.99249967653960702</v>
      </c>
      <c r="G11" s="2">
        <v>2.9547701066819201</v>
      </c>
      <c r="H11" s="4"/>
      <c r="I11" s="5">
        <v>44804</v>
      </c>
      <c r="J11" s="4" t="s">
        <v>45</v>
      </c>
      <c r="K11" s="5">
        <v>44895</v>
      </c>
      <c r="L11" s="4" t="s">
        <v>23</v>
      </c>
      <c r="M11" s="4">
        <v>1.0009678715646999</v>
      </c>
      <c r="N11" s="4">
        <v>-0.37967986010303301</v>
      </c>
    </row>
    <row r="12" spans="2:14" x14ac:dyDescent="0.25">
      <c r="B12" s="1">
        <v>44804</v>
      </c>
      <c r="C12" s="1" t="s">
        <v>19</v>
      </c>
      <c r="D12" s="1">
        <v>44925</v>
      </c>
      <c r="E12" s="2" t="s">
        <v>24</v>
      </c>
      <c r="F12" s="3">
        <v>0.98944548050210002</v>
      </c>
      <c r="G12" s="2">
        <v>3.14867798574004</v>
      </c>
      <c r="H12" s="4"/>
      <c r="I12" s="5">
        <v>44804</v>
      </c>
      <c r="J12" s="4" t="s">
        <v>45</v>
      </c>
      <c r="K12" s="5">
        <v>44925</v>
      </c>
      <c r="L12" s="4" t="s">
        <v>24</v>
      </c>
      <c r="M12" s="4">
        <v>1.00116063601953</v>
      </c>
      <c r="N12" s="4">
        <v>-0.34421666331887901</v>
      </c>
    </row>
    <row r="13" spans="2:14" x14ac:dyDescent="0.25">
      <c r="B13" s="1">
        <v>44804</v>
      </c>
      <c r="C13" s="1" t="s">
        <v>19</v>
      </c>
      <c r="D13" s="1">
        <v>44957</v>
      </c>
      <c r="E13" s="2" t="s">
        <v>25</v>
      </c>
      <c r="F13" s="3">
        <v>0.98639134841551701</v>
      </c>
      <c r="G13" s="2">
        <v>3.2266230870143202</v>
      </c>
      <c r="H13" s="4"/>
      <c r="I13" s="5">
        <v>44804</v>
      </c>
      <c r="J13" s="4" t="s">
        <v>45</v>
      </c>
      <c r="K13" s="5">
        <v>44957</v>
      </c>
      <c r="L13" s="4" t="s">
        <v>25</v>
      </c>
      <c r="M13" s="4">
        <v>1.0028043863523599</v>
      </c>
      <c r="N13" s="4">
        <v>-0.65946349042748997</v>
      </c>
    </row>
    <row r="14" spans="2:14" x14ac:dyDescent="0.25">
      <c r="B14" s="1">
        <v>44804</v>
      </c>
      <c r="C14" s="1" t="s">
        <v>19</v>
      </c>
      <c r="D14" s="1">
        <v>44985</v>
      </c>
      <c r="E14" s="2" t="s">
        <v>26</v>
      </c>
      <c r="F14" s="3">
        <v>0.98349081702987595</v>
      </c>
      <c r="G14" s="2">
        <v>3.3202989366176099</v>
      </c>
      <c r="H14" s="4"/>
      <c r="I14" s="5">
        <v>44804</v>
      </c>
      <c r="J14" s="4" t="s">
        <v>45</v>
      </c>
      <c r="K14" s="5">
        <v>44985</v>
      </c>
      <c r="L14" s="4" t="s">
        <v>26</v>
      </c>
      <c r="M14" s="4">
        <v>1.0031305384917699</v>
      </c>
      <c r="N14" s="4">
        <v>-0.623421707193756</v>
      </c>
    </row>
    <row r="15" spans="2:14" x14ac:dyDescent="0.25">
      <c r="B15" s="4"/>
      <c r="C15" s="4"/>
      <c r="D15" s="4"/>
      <c r="E15" s="4"/>
      <c r="F15" s="4"/>
      <c r="G15" s="4"/>
      <c r="H15" s="4"/>
      <c r="I15" s="5">
        <v>44804</v>
      </c>
      <c r="J15" s="4" t="s">
        <v>45</v>
      </c>
      <c r="K15" s="5">
        <v>45016</v>
      </c>
      <c r="L15" s="4" t="s">
        <v>49</v>
      </c>
      <c r="M15" s="4">
        <v>1.0035876353400801</v>
      </c>
      <c r="N15" s="4">
        <v>-0.61081472976494899</v>
      </c>
    </row>
    <row r="16" spans="2:14" x14ac:dyDescent="0.25">
      <c r="B16" s="4"/>
      <c r="C16" s="4"/>
      <c r="D16" s="4"/>
      <c r="E16" s="4"/>
      <c r="F16" s="4"/>
      <c r="G16" s="4"/>
      <c r="H16" s="4"/>
      <c r="I16" s="5">
        <v>44804</v>
      </c>
      <c r="J16" s="4" t="s">
        <v>45</v>
      </c>
      <c r="K16" s="5">
        <v>45044</v>
      </c>
      <c r="L16" s="4" t="s">
        <v>50</v>
      </c>
      <c r="M16" s="4">
        <v>1.00410979773242</v>
      </c>
      <c r="N16" s="4">
        <v>-0.61859590389399999</v>
      </c>
    </row>
    <row r="17" spans="2:14" x14ac:dyDescent="0.25">
      <c r="B17" s="1">
        <v>44804</v>
      </c>
      <c r="C17" s="1" t="s">
        <v>19</v>
      </c>
      <c r="D17" s="1">
        <v>45077</v>
      </c>
      <c r="E17" s="2" t="s">
        <v>27</v>
      </c>
      <c r="F17" s="3">
        <v>0.97391471981517796</v>
      </c>
      <c r="G17" s="2">
        <v>3.5081856653290102</v>
      </c>
      <c r="H17" s="4"/>
      <c r="I17" s="5">
        <v>44804</v>
      </c>
      <c r="J17" s="4" t="s">
        <v>45</v>
      </c>
      <c r="K17" s="5">
        <v>45077</v>
      </c>
      <c r="L17" s="4" t="s">
        <v>27</v>
      </c>
      <c r="M17" s="4">
        <v>1.00445621563565</v>
      </c>
      <c r="N17" s="4">
        <v>-0.59014741045066399</v>
      </c>
    </row>
    <row r="18" spans="2:14" x14ac:dyDescent="0.25">
      <c r="B18" s="4"/>
      <c r="C18" s="4"/>
      <c r="D18" s="4"/>
      <c r="E18" s="4"/>
      <c r="F18" s="4"/>
      <c r="G18" s="4"/>
      <c r="H18" s="4"/>
      <c r="I18" s="5">
        <v>44804</v>
      </c>
      <c r="J18" s="4" t="s">
        <v>45</v>
      </c>
      <c r="K18" s="5">
        <v>45107</v>
      </c>
      <c r="L18" s="4" t="s">
        <v>51</v>
      </c>
      <c r="M18" s="4">
        <v>1.00498266232944</v>
      </c>
      <c r="N18" s="4">
        <v>-0.59480519067264004</v>
      </c>
    </row>
    <row r="19" spans="2:14" x14ac:dyDescent="0.25">
      <c r="B19" s="4"/>
      <c r="C19" s="4"/>
      <c r="D19" s="4"/>
      <c r="E19" s="4"/>
      <c r="F19" s="4"/>
      <c r="G19" s="4"/>
      <c r="H19" s="4"/>
      <c r="I19" s="5">
        <v>44804</v>
      </c>
      <c r="J19" s="4" t="s">
        <v>45</v>
      </c>
      <c r="K19" s="5">
        <v>45138</v>
      </c>
      <c r="L19" s="4" t="s">
        <v>52</v>
      </c>
      <c r="M19" s="4">
        <v>1.00559166381027</v>
      </c>
      <c r="N19" s="4">
        <v>-0.60573580358911105</v>
      </c>
    </row>
    <row r="20" spans="2:14" x14ac:dyDescent="0.25">
      <c r="B20" s="1">
        <v>44804</v>
      </c>
      <c r="C20" s="1" t="s">
        <v>19</v>
      </c>
      <c r="D20" s="1">
        <v>45169</v>
      </c>
      <c r="E20" s="2" t="s">
        <v>28</v>
      </c>
      <c r="F20" s="3">
        <v>0.96459709191172005</v>
      </c>
      <c r="G20" s="2">
        <v>3.5848356817261</v>
      </c>
      <c r="H20" s="4"/>
      <c r="I20" s="5">
        <v>44804</v>
      </c>
      <c r="J20" s="4" t="s">
        <v>45</v>
      </c>
      <c r="K20" s="5">
        <v>45169</v>
      </c>
      <c r="L20" s="4" t="s">
        <v>28</v>
      </c>
      <c r="M20" s="4">
        <v>1.0060091893473</v>
      </c>
      <c r="N20" s="4">
        <v>-0.59585565518139205</v>
      </c>
    </row>
    <row r="21" spans="2:14" x14ac:dyDescent="0.25">
      <c r="B21" s="1">
        <v>44804</v>
      </c>
      <c r="C21" s="1" t="s">
        <v>19</v>
      </c>
      <c r="D21" s="1">
        <v>45350</v>
      </c>
      <c r="E21" s="2" t="s">
        <v>29</v>
      </c>
      <c r="F21" s="3">
        <v>0.94729230281903098</v>
      </c>
      <c r="G21" s="2">
        <v>3.6065444541285698</v>
      </c>
      <c r="H21" s="4"/>
      <c r="I21" s="4"/>
      <c r="J21" s="4"/>
      <c r="K21" s="4"/>
      <c r="L21" s="4"/>
      <c r="M21" s="4"/>
      <c r="N21" s="4"/>
    </row>
    <row r="22" spans="2:14" x14ac:dyDescent="0.25">
      <c r="B22" s="1">
        <v>44804</v>
      </c>
      <c r="C22" s="1" t="s">
        <v>19</v>
      </c>
      <c r="D22" s="1">
        <v>45534</v>
      </c>
      <c r="E22" s="2" t="s">
        <v>30</v>
      </c>
      <c r="F22" s="3">
        <v>0.93147415518598298</v>
      </c>
      <c r="G22" s="2">
        <v>3.5396440803700902</v>
      </c>
      <c r="H22" s="4"/>
      <c r="I22" s="5">
        <v>44804</v>
      </c>
      <c r="J22" s="4" t="s">
        <v>45</v>
      </c>
      <c r="K22" s="5">
        <v>45534</v>
      </c>
      <c r="L22" s="4" t="s">
        <v>30</v>
      </c>
      <c r="M22" s="4">
        <v>1.01247876460525</v>
      </c>
      <c r="N22" s="4">
        <v>-0.61838312720301403</v>
      </c>
    </row>
    <row r="23" spans="2:14" x14ac:dyDescent="0.25">
      <c r="B23" s="1">
        <v>44804</v>
      </c>
      <c r="C23" s="1" t="s">
        <v>19</v>
      </c>
      <c r="D23" s="1">
        <v>45898</v>
      </c>
      <c r="E23" s="2" t="s">
        <v>31</v>
      </c>
      <c r="F23" s="3">
        <v>0.90478181097946897</v>
      </c>
      <c r="G23" s="2">
        <v>3.3323386751544199</v>
      </c>
      <c r="H23" s="4"/>
      <c r="I23" s="5">
        <v>44804</v>
      </c>
      <c r="J23" s="4" t="s">
        <v>45</v>
      </c>
      <c r="K23" s="5">
        <v>45898</v>
      </c>
      <c r="L23" s="4" t="s">
        <v>31</v>
      </c>
      <c r="M23" s="4">
        <v>1.02007035629548</v>
      </c>
      <c r="N23" s="4">
        <v>-0.66178235523727402</v>
      </c>
    </row>
    <row r="24" spans="2:14" x14ac:dyDescent="0.25">
      <c r="B24" s="1">
        <v>44804</v>
      </c>
      <c r="C24" s="1" t="s">
        <v>19</v>
      </c>
      <c r="D24" s="1">
        <v>46265</v>
      </c>
      <c r="E24" s="2" t="s">
        <v>32</v>
      </c>
      <c r="F24" s="3">
        <v>0.88038035896242595</v>
      </c>
      <c r="G24" s="2">
        <v>3.1784998064512102</v>
      </c>
      <c r="H24" s="4"/>
      <c r="I24" s="5">
        <v>44804</v>
      </c>
      <c r="J24" s="4" t="s">
        <v>45</v>
      </c>
      <c r="K24" s="5">
        <v>46265</v>
      </c>
      <c r="L24" s="4" t="s">
        <v>32</v>
      </c>
      <c r="M24" s="4">
        <v>1.0254782829904201</v>
      </c>
      <c r="N24" s="4">
        <v>-0.62768826243616405</v>
      </c>
    </row>
    <row r="25" spans="2:14" x14ac:dyDescent="0.25">
      <c r="B25" s="1">
        <v>44804</v>
      </c>
      <c r="C25" s="1" t="s">
        <v>19</v>
      </c>
      <c r="D25" s="1">
        <v>46630</v>
      </c>
      <c r="E25" s="2" t="s">
        <v>33</v>
      </c>
      <c r="F25" s="3">
        <v>0.85782517465346297</v>
      </c>
      <c r="G25" s="2">
        <v>3.0620656558804802</v>
      </c>
      <c r="H25" s="4"/>
      <c r="I25" s="5">
        <v>44804</v>
      </c>
      <c r="J25" s="4" t="s">
        <v>45</v>
      </c>
      <c r="K25" s="5">
        <v>46630</v>
      </c>
      <c r="L25" s="4" t="s">
        <v>33</v>
      </c>
      <c r="M25" s="4">
        <v>1.0388948146655901</v>
      </c>
      <c r="N25" s="4">
        <v>-0.76189696482964497</v>
      </c>
    </row>
    <row r="26" spans="2:14" x14ac:dyDescent="0.25">
      <c r="B26" s="1">
        <v>44804</v>
      </c>
      <c r="C26" s="1" t="s">
        <v>19</v>
      </c>
      <c r="D26" s="1">
        <v>46996</v>
      </c>
      <c r="E26" s="2" t="s">
        <v>34</v>
      </c>
      <c r="F26" s="3">
        <v>0.835868642798826</v>
      </c>
      <c r="G26" s="2">
        <v>2.9826157018831099</v>
      </c>
      <c r="H26" s="4"/>
      <c r="I26" s="4"/>
      <c r="J26" s="4"/>
      <c r="K26" s="4"/>
      <c r="L26" s="4"/>
      <c r="M26" s="4"/>
      <c r="N26" s="4"/>
    </row>
    <row r="27" spans="2:14" x14ac:dyDescent="0.25">
      <c r="B27" s="1">
        <v>44804</v>
      </c>
      <c r="C27" s="1" t="s">
        <v>19</v>
      </c>
      <c r="D27" s="1">
        <v>47361</v>
      </c>
      <c r="E27" s="2" t="s">
        <v>35</v>
      </c>
      <c r="F27" s="3">
        <v>0.81358927702408701</v>
      </c>
      <c r="G27" s="2">
        <v>2.9425306416958601</v>
      </c>
      <c r="H27" s="4"/>
      <c r="I27" s="5">
        <v>44804</v>
      </c>
      <c r="J27" s="4" t="s">
        <v>45</v>
      </c>
      <c r="K27" s="5">
        <v>47361</v>
      </c>
      <c r="L27" s="4" t="s">
        <v>35</v>
      </c>
      <c r="M27" s="4">
        <v>1.03854057536823</v>
      </c>
      <c r="N27" s="4">
        <v>-0.53939033480607901</v>
      </c>
    </row>
    <row r="28" spans="2:14" x14ac:dyDescent="0.25">
      <c r="B28" s="1">
        <v>44804</v>
      </c>
      <c r="C28" s="1" t="s">
        <v>19</v>
      </c>
      <c r="D28" s="1">
        <v>47725</v>
      </c>
      <c r="E28" s="2" t="s">
        <v>36</v>
      </c>
      <c r="F28" s="3">
        <v>0.79170624821561897</v>
      </c>
      <c r="G28" s="2">
        <v>2.9165642139068702</v>
      </c>
      <c r="H28" s="4"/>
      <c r="I28" s="4"/>
      <c r="J28" s="4"/>
      <c r="K28" s="4"/>
      <c r="L28" s="4"/>
      <c r="M28" s="4"/>
      <c r="N28" s="4"/>
    </row>
    <row r="29" spans="2:14" x14ac:dyDescent="0.25">
      <c r="B29" s="1">
        <v>44804</v>
      </c>
      <c r="C29" s="1" t="s">
        <v>19</v>
      </c>
      <c r="D29" s="1">
        <v>48089</v>
      </c>
      <c r="E29" s="2" t="s">
        <v>37</v>
      </c>
      <c r="F29" s="3">
        <v>0.76996621938371601</v>
      </c>
      <c r="G29" s="2">
        <v>2.9027731111558102</v>
      </c>
      <c r="H29" s="4"/>
      <c r="I29" s="4"/>
      <c r="J29" s="4"/>
      <c r="K29" s="4"/>
      <c r="L29" s="4"/>
      <c r="M29" s="4"/>
      <c r="N29" s="4"/>
    </row>
    <row r="30" spans="2:14" x14ac:dyDescent="0.25">
      <c r="B30" s="1">
        <v>44804</v>
      </c>
      <c r="C30" s="1" t="s">
        <v>19</v>
      </c>
      <c r="D30" s="1">
        <v>48457</v>
      </c>
      <c r="E30" s="2" t="s">
        <v>38</v>
      </c>
      <c r="F30" s="3">
        <v>0.74774973522983701</v>
      </c>
      <c r="G30" s="2">
        <v>2.9028927905679001</v>
      </c>
      <c r="H30" s="4"/>
      <c r="I30" s="5">
        <v>44804</v>
      </c>
      <c r="J30" s="4" t="s">
        <v>45</v>
      </c>
      <c r="K30" s="5">
        <v>48457</v>
      </c>
      <c r="L30" s="4" t="s">
        <v>38</v>
      </c>
      <c r="M30" s="4">
        <v>1.03963437296604</v>
      </c>
      <c r="N30" s="4">
        <v>-0.38815914404430002</v>
      </c>
    </row>
    <row r="31" spans="2:14" x14ac:dyDescent="0.25">
      <c r="B31" s="1">
        <v>44804</v>
      </c>
      <c r="C31" s="1" t="s">
        <v>19</v>
      </c>
      <c r="D31" s="1">
        <v>49187</v>
      </c>
      <c r="E31" s="2" t="s">
        <v>39</v>
      </c>
      <c r="F31" s="3">
        <v>0.70443181945611699</v>
      </c>
      <c r="G31" s="2">
        <v>2.9163685705191802</v>
      </c>
      <c r="H31" s="4"/>
      <c r="I31" s="4"/>
      <c r="J31" s="4"/>
      <c r="K31" s="4"/>
      <c r="L31" s="4"/>
      <c r="M31" s="4"/>
      <c r="N31" s="4"/>
    </row>
    <row r="32" spans="2:14" x14ac:dyDescent="0.25">
      <c r="B32" s="1">
        <v>44804</v>
      </c>
      <c r="C32" s="1" t="s">
        <v>19</v>
      </c>
      <c r="D32" s="1">
        <v>50283</v>
      </c>
      <c r="E32" s="2" t="s">
        <v>40</v>
      </c>
      <c r="F32" s="3">
        <v>0.643734391044261</v>
      </c>
      <c r="G32" s="2">
        <v>2.93324597908226</v>
      </c>
      <c r="H32" s="4"/>
      <c r="I32" s="4"/>
      <c r="J32" s="4"/>
      <c r="K32" s="4"/>
      <c r="L32" s="4"/>
      <c r="M32" s="4"/>
      <c r="N32" s="4"/>
    </row>
    <row r="33" spans="2:14" x14ac:dyDescent="0.25">
      <c r="B33" s="1">
        <v>44804</v>
      </c>
      <c r="C33" s="1" t="s">
        <v>19</v>
      </c>
      <c r="D33" s="1">
        <v>52107</v>
      </c>
      <c r="E33" s="2" t="s">
        <v>41</v>
      </c>
      <c r="F33" s="3">
        <v>0.562732773741774</v>
      </c>
      <c r="G33" s="2">
        <v>2.8727843924643599</v>
      </c>
      <c r="H33" s="4"/>
      <c r="I33" s="4"/>
      <c r="J33" s="4"/>
      <c r="K33" s="4"/>
      <c r="L33" s="4"/>
      <c r="M33" s="4"/>
      <c r="N33" s="4"/>
    </row>
    <row r="34" spans="2:14" x14ac:dyDescent="0.25">
      <c r="B34" s="1">
        <v>44804</v>
      </c>
      <c r="C34" s="1" t="s">
        <v>19</v>
      </c>
      <c r="D34" s="1">
        <v>53934</v>
      </c>
      <c r="E34" s="2" t="s">
        <v>42</v>
      </c>
      <c r="F34" s="3">
        <v>0.50644541855751901</v>
      </c>
      <c r="G34" s="2">
        <v>2.71926887823015</v>
      </c>
      <c r="H34" s="4"/>
      <c r="I34" s="4"/>
      <c r="J34" s="4"/>
      <c r="K34" s="4"/>
      <c r="L34" s="4"/>
      <c r="M34" s="4"/>
      <c r="N34" s="4"/>
    </row>
    <row r="35" spans="2:14" x14ac:dyDescent="0.25">
      <c r="B35" s="1">
        <v>44804</v>
      </c>
      <c r="C35" s="1" t="s">
        <v>19</v>
      </c>
      <c r="D35" s="1">
        <v>55761</v>
      </c>
      <c r="E35" s="2" t="s">
        <v>43</v>
      </c>
      <c r="F35" s="3">
        <v>0.45708309889090898</v>
      </c>
      <c r="G35" s="2">
        <v>2.6074904208018701</v>
      </c>
      <c r="H35" s="4"/>
      <c r="I35" s="4"/>
      <c r="J35" s="4"/>
      <c r="K35" s="4"/>
      <c r="L35" s="4"/>
      <c r="M35" s="4"/>
      <c r="N35" s="4"/>
    </row>
    <row r="36" spans="2:14" x14ac:dyDescent="0.25">
      <c r="B36" s="1">
        <v>44804</v>
      </c>
      <c r="C36" s="1" t="s">
        <v>19</v>
      </c>
      <c r="D36" s="1">
        <v>59414</v>
      </c>
      <c r="E36" s="2" t="s">
        <v>44</v>
      </c>
      <c r="F36" s="3">
        <v>0.39561726361342497</v>
      </c>
      <c r="G36" s="2">
        <v>2.3163662404789398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B2:H16"/>
  <sheetViews>
    <sheetView workbookViewId="0">
      <selection activeCell="I17" sqref="I17:J18"/>
    </sheetView>
  </sheetViews>
  <sheetFormatPr defaultRowHeight="16.5" x14ac:dyDescent="0.25"/>
  <cols>
    <col min="2" max="2" width="11.875" bestFit="1" customWidth="1"/>
    <col min="5" max="5" width="9.125" bestFit="1" customWidth="1"/>
  </cols>
  <sheetData>
    <row r="2" spans="2:8" x14ac:dyDescent="0.25">
      <c r="E2" s="67"/>
      <c r="G2" s="67"/>
    </row>
    <row r="3" spans="2:8" x14ac:dyDescent="0.25">
      <c r="B3" s="43">
        <v>44809</v>
      </c>
      <c r="C3" s="42" t="s">
        <v>57</v>
      </c>
      <c r="D3" s="42" t="s">
        <v>47</v>
      </c>
      <c r="E3" s="67">
        <v>10.234312462955685</v>
      </c>
      <c r="F3" s="67">
        <f>[1]LMUV!$H31</f>
        <v>3.7037841995807703</v>
      </c>
      <c r="G3" s="67">
        <v>113.92091274008095</v>
      </c>
      <c r="H3" s="67">
        <f>[1]LMUV!$I31</f>
        <v>106.51801321267772</v>
      </c>
    </row>
    <row r="4" spans="2:8" x14ac:dyDescent="0.25">
      <c r="B4" s="43">
        <v>44832</v>
      </c>
      <c r="C4" s="42" t="s">
        <v>58</v>
      </c>
      <c r="D4" s="42" t="s">
        <v>21</v>
      </c>
      <c r="E4" s="67">
        <v>10.43220890729833</v>
      </c>
      <c r="F4" s="67">
        <f>[1]LMUV!$H32</f>
        <v>3.7806558288494627</v>
      </c>
      <c r="G4" s="67">
        <v>109.1549890558636</v>
      </c>
      <c r="H4" s="67">
        <f>[1]LMUV!$I32</f>
        <v>100.38834276963459</v>
      </c>
    </row>
    <row r="5" spans="2:8" x14ac:dyDescent="0.25">
      <c r="B5" s="43">
        <v>44861</v>
      </c>
      <c r="C5" s="42" t="s">
        <v>59</v>
      </c>
      <c r="D5" s="42" t="s">
        <v>22</v>
      </c>
      <c r="E5" s="67">
        <v>10.067465086021564</v>
      </c>
      <c r="F5" s="67">
        <f>[1]LMUV!$H33</f>
        <v>3.6490368652240122</v>
      </c>
      <c r="G5" s="67">
        <v>105.79912391821838</v>
      </c>
      <c r="H5" s="67">
        <f>[1]LMUV!$I33</f>
        <v>97.255421908267877</v>
      </c>
    </row>
    <row r="6" spans="2:8" x14ac:dyDescent="0.25">
      <c r="B6" s="43">
        <v>44893</v>
      </c>
      <c r="C6" s="42" t="s">
        <v>60</v>
      </c>
      <c r="D6" s="42" t="s">
        <v>23</v>
      </c>
      <c r="E6" s="67">
        <v>10.123862663249326</v>
      </c>
      <c r="F6" s="67">
        <f>[1]LMUV!$H34</f>
        <v>3.667067257626313</v>
      </c>
      <c r="G6" s="67">
        <v>104.35302010988437</v>
      </c>
      <c r="H6" s="67">
        <f>[1]LMUV!$I34</f>
        <v>95.819223128880211</v>
      </c>
    </row>
    <row r="7" spans="2:8" x14ac:dyDescent="0.25">
      <c r="B7" s="43">
        <v>44981</v>
      </c>
      <c r="C7" s="42" t="s">
        <v>61</v>
      </c>
      <c r="D7" s="42" t="s">
        <v>26</v>
      </c>
      <c r="E7" s="67">
        <v>10.156597762015892</v>
      </c>
      <c r="F7" s="67">
        <f>[1]LMUV!$H35</f>
        <v>3.6670713881590786</v>
      </c>
      <c r="G7" s="67">
        <v>104.97128839514396</v>
      </c>
      <c r="H7" s="67">
        <f>[1]LMUV!$I35</f>
        <v>97.639560522967628</v>
      </c>
    </row>
    <row r="8" spans="2:8" x14ac:dyDescent="0.25">
      <c r="B8" s="43">
        <v>45075</v>
      </c>
      <c r="C8" s="42" t="s">
        <v>62</v>
      </c>
      <c r="D8" s="42" t="s">
        <v>27</v>
      </c>
      <c r="E8" s="67">
        <v>10.165517781229669</v>
      </c>
      <c r="F8" s="67">
        <f>[1]LMUV!$H36</f>
        <v>3.6556172210514508</v>
      </c>
      <c r="G8" s="67">
        <v>106.9337458805384</v>
      </c>
      <c r="H8" s="67">
        <f>[1]LMUV!$I36</f>
        <v>101.37908274475915</v>
      </c>
    </row>
    <row r="9" spans="2:8" x14ac:dyDescent="0.25">
      <c r="B9" s="43">
        <v>45167</v>
      </c>
      <c r="C9" s="42" t="s">
        <v>63</v>
      </c>
      <c r="D9" s="42" t="s">
        <v>28</v>
      </c>
      <c r="E9" s="67">
        <v>10.125187691640473</v>
      </c>
      <c r="F9" s="67">
        <f>[1]LMUV!$H37</f>
        <v>3.626269483640884</v>
      </c>
      <c r="G9" s="67">
        <v>111.86778647080943</v>
      </c>
      <c r="H9" s="67">
        <f>[1]LMUV!$I37</f>
        <v>108.48204516070143</v>
      </c>
    </row>
    <row r="10" spans="2:8" x14ac:dyDescent="0.25">
      <c r="B10" s="43">
        <v>45532</v>
      </c>
      <c r="C10" s="42" t="s">
        <v>64</v>
      </c>
      <c r="D10" s="42" t="s">
        <v>30</v>
      </c>
      <c r="E10" s="67">
        <v>9.4851588879089181</v>
      </c>
      <c r="F10" s="67">
        <f>[1]LMUV!$H38</f>
        <v>3.3878784238266859</v>
      </c>
      <c r="G10" s="67">
        <v>117.71823778536596</v>
      </c>
      <c r="H10" s="67">
        <f>[1]LMUV!$I38</f>
        <v>116.49216436810477</v>
      </c>
    </row>
    <row r="11" spans="2:8" x14ac:dyDescent="0.25">
      <c r="B11" s="43">
        <v>46626</v>
      </c>
      <c r="C11" s="42" t="s">
        <v>65</v>
      </c>
      <c r="D11" s="42" t="s">
        <v>33</v>
      </c>
      <c r="E11" s="67">
        <v>8.6141777190693816</v>
      </c>
      <c r="F11" s="67">
        <f>[1]LMUV!$H39</f>
        <v>3.0513657806946046</v>
      </c>
      <c r="G11" s="67">
        <v>171.9050346328761</v>
      </c>
      <c r="H11" s="67">
        <f>[1]LMUV!$I39</f>
        <v>207.39356377088183</v>
      </c>
    </row>
    <row r="12" spans="2:8" x14ac:dyDescent="0.25">
      <c r="B12" s="43">
        <v>47359</v>
      </c>
      <c r="C12" s="42" t="s">
        <v>66</v>
      </c>
      <c r="D12" s="42" t="s">
        <v>35</v>
      </c>
      <c r="E12" s="67">
        <v>8.6486982291437204</v>
      </c>
      <c r="F12" s="67">
        <f>[1]LMUV!$H40</f>
        <v>3.103786873814486</v>
      </c>
      <c r="G12" s="67">
        <v>304.6838726104333</v>
      </c>
      <c r="H12" s="67">
        <f>[1]LMUV!$I40</f>
        <v>320.04536281742037</v>
      </c>
    </row>
    <row r="13" spans="2:8" x14ac:dyDescent="0.25">
      <c r="B13" s="43">
        <v>48453</v>
      </c>
      <c r="C13" s="42" t="s">
        <v>67</v>
      </c>
      <c r="D13" s="42" t="s">
        <v>38</v>
      </c>
      <c r="E13" s="67">
        <v>8.7719272377066115</v>
      </c>
      <c r="F13" s="67">
        <f>[1]LMUV!$H41</f>
        <v>3.1833772177043027</v>
      </c>
      <c r="G13" s="67">
        <v>255.99182214423237</v>
      </c>
      <c r="H13" s="67">
        <f>[1]LMUV!$I41</f>
        <v>268.42899083845026</v>
      </c>
    </row>
    <row r="15" spans="2:8" x14ac:dyDescent="0.25">
      <c r="D15" s="64" t="s">
        <v>77</v>
      </c>
      <c r="E15" s="65">
        <f>[1]LMUV!$G$18</f>
        <v>0.99602643573064065</v>
      </c>
      <c r="G15" s="66">
        <f>[1]LMUV!$G$19</f>
        <v>3.9735642693593106E-3</v>
      </c>
    </row>
    <row r="16" spans="2:8" x14ac:dyDescent="0.25">
      <c r="F16" s="6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Booking</vt:lpstr>
      <vt:lpstr>Rates</vt:lpstr>
      <vt:lpstr>Vols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吳冠宏(Harvey Wu)</dc:creator>
  <cp:lastModifiedBy>吳冠宏(Harvey Wu)</cp:lastModifiedBy>
  <dcterms:created xsi:type="dcterms:W3CDTF">2022-09-07T02:35:25Z</dcterms:created>
  <dcterms:modified xsi:type="dcterms:W3CDTF">2022-12-23T08:29:57Z</dcterms:modified>
</cp:coreProperties>
</file>