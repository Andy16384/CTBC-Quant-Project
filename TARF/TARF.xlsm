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00050083\Desktop\已完成資料\"/>
    </mc:Choice>
  </mc:AlternateContent>
  <bookViews>
    <workbookView xWindow="0" yWindow="0" windowWidth="21600" windowHeight="9555" activeTab="2"/>
  </bookViews>
  <sheets>
    <sheet name="Booking" sheetId="1" r:id="rId1"/>
    <sheet name="Rates" sheetId="2" r:id="rId2"/>
    <sheet name="Vols" sheetId="3" r:id="rId3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E7" i="1"/>
  <c r="E4" i="1"/>
  <c r="R127" i="1"/>
  <c r="Q127" i="1"/>
  <c r="P127" i="1"/>
  <c r="S127" i="1"/>
  <c r="S10" i="1" l="1"/>
  <c r="C9" i="1"/>
  <c r="H16" i="1" l="1"/>
  <c r="I21" i="1"/>
  <c r="I13" i="1"/>
  <c r="J13" i="1" s="1"/>
  <c r="I14" i="1"/>
  <c r="I15" i="1"/>
  <c r="I18" i="1"/>
  <c r="I24" i="1"/>
  <c r="I36" i="1"/>
  <c r="I72" i="1"/>
  <c r="I96" i="1"/>
  <c r="I127" i="1"/>
  <c r="F127" i="1"/>
  <c r="E127" i="1" s="1"/>
  <c r="F96" i="1"/>
  <c r="F72" i="1"/>
  <c r="F60" i="1"/>
  <c r="F48" i="1"/>
  <c r="F36" i="1"/>
  <c r="F19" i="1"/>
  <c r="F20" i="1"/>
  <c r="F21" i="1"/>
  <c r="F22" i="1"/>
  <c r="F23" i="1"/>
  <c r="F24" i="1"/>
  <c r="F17" i="1"/>
  <c r="F18" i="1"/>
  <c r="F16" i="1"/>
  <c r="F15" i="1"/>
  <c r="F14" i="1"/>
  <c r="F13" i="1"/>
  <c r="F12" i="1"/>
  <c r="H12" i="1"/>
  <c r="I23" i="1" l="1"/>
  <c r="I75" i="1"/>
  <c r="F104" i="1"/>
  <c r="E104" i="1" s="1"/>
  <c r="I38" i="1"/>
  <c r="I17" i="1"/>
  <c r="E15" i="1"/>
  <c r="F25" i="1"/>
  <c r="E20" i="1"/>
  <c r="E16" i="1"/>
  <c r="E23" i="1"/>
  <c r="E19" i="1"/>
  <c r="E13" i="1"/>
  <c r="E18" i="1"/>
  <c r="E22" i="1"/>
  <c r="E36" i="1"/>
  <c r="F112" i="1"/>
  <c r="I105" i="1"/>
  <c r="E14" i="1"/>
  <c r="E17" i="1"/>
  <c r="E21" i="1"/>
  <c r="E48" i="1"/>
  <c r="I91" i="1"/>
  <c r="I67" i="1"/>
  <c r="F76" i="1"/>
  <c r="I26" i="1"/>
  <c r="I29" i="1"/>
  <c r="I64" i="1"/>
  <c r="I56" i="1"/>
  <c r="I48" i="1"/>
  <c r="I40" i="1"/>
  <c r="I113" i="1"/>
  <c r="I37" i="1"/>
  <c r="I63" i="1"/>
  <c r="I55" i="1"/>
  <c r="I47" i="1"/>
  <c r="I39" i="1"/>
  <c r="I59" i="1"/>
  <c r="I51" i="1"/>
  <c r="I43" i="1"/>
  <c r="I68" i="1"/>
  <c r="I60" i="1"/>
  <c r="I52" i="1"/>
  <c r="I44" i="1"/>
  <c r="F44" i="1"/>
  <c r="F62" i="1"/>
  <c r="F82" i="1"/>
  <c r="F74" i="1"/>
  <c r="F70" i="1"/>
  <c r="F123" i="1"/>
  <c r="F87" i="1"/>
  <c r="F120" i="1"/>
  <c r="F94" i="1"/>
  <c r="F86" i="1"/>
  <c r="F78" i="1"/>
  <c r="E96" i="1"/>
  <c r="F90" i="1"/>
  <c r="F95" i="1"/>
  <c r="F79" i="1"/>
  <c r="F29" i="1"/>
  <c r="F66" i="1"/>
  <c r="F33" i="1"/>
  <c r="F91" i="1"/>
  <c r="F83" i="1"/>
  <c r="F75" i="1"/>
  <c r="F53" i="1"/>
  <c r="E72" i="1"/>
  <c r="F41" i="1"/>
  <c r="F101" i="1"/>
  <c r="F32" i="1"/>
  <c r="F97" i="1"/>
  <c r="F119" i="1"/>
  <c r="F111" i="1"/>
  <c r="F103" i="1"/>
  <c r="F69" i="1"/>
  <c r="F49" i="1"/>
  <c r="F52" i="1"/>
  <c r="F43" i="1"/>
  <c r="E24" i="1"/>
  <c r="I16" i="1"/>
  <c r="I34" i="1"/>
  <c r="I87" i="1"/>
  <c r="I125" i="1"/>
  <c r="I109" i="1"/>
  <c r="F50" i="1"/>
  <c r="F54" i="1"/>
  <c r="F58" i="1"/>
  <c r="F51" i="1"/>
  <c r="F55" i="1"/>
  <c r="F59" i="1"/>
  <c r="F124" i="1"/>
  <c r="F116" i="1"/>
  <c r="F108" i="1"/>
  <c r="F100" i="1"/>
  <c r="F57" i="1"/>
  <c r="F37" i="1"/>
  <c r="F40" i="1"/>
  <c r="I27" i="1"/>
  <c r="I31" i="1"/>
  <c r="I35" i="1"/>
  <c r="I28" i="1"/>
  <c r="I32" i="1"/>
  <c r="I25" i="1"/>
  <c r="I33" i="1"/>
  <c r="I83" i="1"/>
  <c r="I121" i="1"/>
  <c r="F26" i="1"/>
  <c r="F30" i="1"/>
  <c r="F34" i="1"/>
  <c r="F27" i="1"/>
  <c r="F31" i="1"/>
  <c r="F35" i="1"/>
  <c r="F63" i="1"/>
  <c r="F67" i="1"/>
  <c r="F71" i="1"/>
  <c r="F64" i="1"/>
  <c r="F68" i="1"/>
  <c r="F61" i="1"/>
  <c r="F28" i="1"/>
  <c r="F115" i="1"/>
  <c r="F107" i="1"/>
  <c r="F99" i="1"/>
  <c r="F65" i="1"/>
  <c r="F56" i="1"/>
  <c r="F47" i="1"/>
  <c r="F39" i="1"/>
  <c r="E60" i="1"/>
  <c r="I98" i="1"/>
  <c r="I102" i="1"/>
  <c r="I106" i="1"/>
  <c r="I110" i="1"/>
  <c r="I114" i="1"/>
  <c r="I118" i="1"/>
  <c r="I122" i="1"/>
  <c r="I126" i="1"/>
  <c r="I104" i="1"/>
  <c r="I86" i="1"/>
  <c r="I99" i="1"/>
  <c r="I103" i="1"/>
  <c r="I107" i="1"/>
  <c r="I111" i="1"/>
  <c r="I115" i="1"/>
  <c r="I119" i="1"/>
  <c r="I123" i="1"/>
  <c r="I97" i="1"/>
  <c r="I100" i="1"/>
  <c r="I112" i="1"/>
  <c r="I116" i="1"/>
  <c r="I120" i="1"/>
  <c r="I124" i="1"/>
  <c r="I74" i="1"/>
  <c r="I82" i="1"/>
  <c r="I90" i="1"/>
  <c r="I94" i="1"/>
  <c r="I108" i="1"/>
  <c r="I78" i="1"/>
  <c r="I19" i="1"/>
  <c r="I20" i="1"/>
  <c r="I22" i="1"/>
  <c r="I30" i="1"/>
  <c r="I95" i="1"/>
  <c r="I79" i="1"/>
  <c r="I117" i="1"/>
  <c r="I101" i="1"/>
  <c r="F126" i="1"/>
  <c r="F122" i="1"/>
  <c r="F118" i="1"/>
  <c r="F114" i="1"/>
  <c r="F110" i="1"/>
  <c r="F106" i="1"/>
  <c r="F102" i="1"/>
  <c r="F98" i="1"/>
  <c r="F93" i="1"/>
  <c r="F89" i="1"/>
  <c r="F85" i="1"/>
  <c r="F81" i="1"/>
  <c r="F77" i="1"/>
  <c r="F46" i="1"/>
  <c r="F42" i="1"/>
  <c r="F38" i="1"/>
  <c r="I70" i="1"/>
  <c r="I66" i="1"/>
  <c r="I62" i="1"/>
  <c r="I58" i="1"/>
  <c r="I54" i="1"/>
  <c r="I50" i="1"/>
  <c r="I46" i="1"/>
  <c r="I42" i="1"/>
  <c r="I93" i="1"/>
  <c r="I89" i="1"/>
  <c r="I85" i="1"/>
  <c r="I81" i="1"/>
  <c r="I77" i="1"/>
  <c r="F125" i="1"/>
  <c r="F121" i="1"/>
  <c r="F117" i="1"/>
  <c r="F113" i="1"/>
  <c r="F109" i="1"/>
  <c r="F105" i="1"/>
  <c r="F73" i="1"/>
  <c r="F92" i="1"/>
  <c r="F88" i="1"/>
  <c r="F84" i="1"/>
  <c r="F80" i="1"/>
  <c r="F45" i="1"/>
  <c r="I71" i="1"/>
  <c r="I69" i="1"/>
  <c r="I65" i="1"/>
  <c r="I61" i="1"/>
  <c r="I57" i="1"/>
  <c r="I53" i="1"/>
  <c r="I49" i="1"/>
  <c r="I45" i="1"/>
  <c r="I41" i="1"/>
  <c r="I73" i="1"/>
  <c r="I92" i="1"/>
  <c r="I88" i="1"/>
  <c r="I84" i="1"/>
  <c r="I80" i="1"/>
  <c r="I76" i="1"/>
  <c r="H127" i="1"/>
  <c r="G127" i="1" s="1"/>
  <c r="H120" i="1"/>
  <c r="H108" i="1"/>
  <c r="H96" i="1"/>
  <c r="H84" i="1"/>
  <c r="H72" i="1"/>
  <c r="H60" i="1"/>
  <c r="H48" i="1"/>
  <c r="H36" i="1"/>
  <c r="H30" i="1"/>
  <c r="H24" i="1"/>
  <c r="H21" i="1"/>
  <c r="H18" i="1"/>
  <c r="H17" i="1"/>
  <c r="G16" i="1"/>
  <c r="H15" i="1"/>
  <c r="H14" i="1"/>
  <c r="H13" i="1"/>
  <c r="D12" i="1"/>
  <c r="E12" i="1" s="1"/>
  <c r="E92" i="1" l="1"/>
  <c r="E93" i="1"/>
  <c r="E126" i="1"/>
  <c r="E47" i="1"/>
  <c r="E68" i="1"/>
  <c r="E34" i="1"/>
  <c r="E108" i="1"/>
  <c r="E50" i="1"/>
  <c r="E52" i="1"/>
  <c r="E101" i="1"/>
  <c r="E66" i="1"/>
  <c r="E86" i="1"/>
  <c r="E62" i="1"/>
  <c r="E37" i="1"/>
  <c r="E51" i="1"/>
  <c r="E41" i="1"/>
  <c r="E29" i="1"/>
  <c r="E70" i="1"/>
  <c r="E44" i="1"/>
  <c r="E76" i="1"/>
  <c r="E105" i="1"/>
  <c r="E102" i="1"/>
  <c r="E31" i="1"/>
  <c r="E45" i="1"/>
  <c r="E113" i="1"/>
  <c r="E77" i="1"/>
  <c r="E110" i="1"/>
  <c r="E107" i="1"/>
  <c r="E63" i="1"/>
  <c r="E40" i="1"/>
  <c r="E55" i="1"/>
  <c r="E111" i="1"/>
  <c r="E75" i="1"/>
  <c r="E90" i="1"/>
  <c r="E123" i="1"/>
  <c r="E80" i="1"/>
  <c r="E73" i="1"/>
  <c r="E117" i="1"/>
  <c r="E38" i="1"/>
  <c r="E81" i="1"/>
  <c r="E98" i="1"/>
  <c r="E114" i="1"/>
  <c r="E56" i="1"/>
  <c r="E115" i="1"/>
  <c r="E64" i="1"/>
  <c r="E35" i="1"/>
  <c r="E30" i="1"/>
  <c r="E116" i="1"/>
  <c r="E49" i="1"/>
  <c r="E119" i="1"/>
  <c r="E83" i="1"/>
  <c r="E94" i="1"/>
  <c r="E25" i="1"/>
  <c r="E84" i="1"/>
  <c r="E121" i="1"/>
  <c r="E42" i="1"/>
  <c r="E85" i="1"/>
  <c r="E118" i="1"/>
  <c r="E65" i="1"/>
  <c r="E28" i="1"/>
  <c r="E71" i="1"/>
  <c r="E26" i="1"/>
  <c r="E57" i="1"/>
  <c r="E124" i="1"/>
  <c r="E58" i="1"/>
  <c r="E69" i="1"/>
  <c r="E97" i="1"/>
  <c r="E91" i="1"/>
  <c r="E79" i="1"/>
  <c r="E120" i="1"/>
  <c r="E74" i="1"/>
  <c r="E88" i="1"/>
  <c r="E109" i="1"/>
  <c r="E125" i="1"/>
  <c r="E46" i="1"/>
  <c r="E89" i="1"/>
  <c r="E106" i="1"/>
  <c r="E122" i="1"/>
  <c r="E39" i="1"/>
  <c r="E99" i="1"/>
  <c r="E61" i="1"/>
  <c r="E67" i="1"/>
  <c r="E27" i="1"/>
  <c r="E100" i="1"/>
  <c r="E59" i="1"/>
  <c r="E54" i="1"/>
  <c r="E43" i="1"/>
  <c r="E103" i="1"/>
  <c r="E32" i="1"/>
  <c r="E53" i="1"/>
  <c r="E33" i="1"/>
  <c r="E95" i="1"/>
  <c r="E78" i="1"/>
  <c r="E87" i="1"/>
  <c r="E82" i="1"/>
  <c r="E112" i="1"/>
  <c r="G24" i="1"/>
  <c r="H25" i="1"/>
  <c r="G17" i="1"/>
  <c r="H123" i="1"/>
  <c r="G60" i="1"/>
  <c r="G13" i="1"/>
  <c r="G30" i="1"/>
  <c r="G72" i="1"/>
  <c r="G14" i="1"/>
  <c r="G18" i="1"/>
  <c r="G15" i="1"/>
  <c r="G12" i="1"/>
  <c r="H112" i="1"/>
  <c r="H23" i="1"/>
  <c r="H58" i="1"/>
  <c r="H98" i="1"/>
  <c r="H32" i="1"/>
  <c r="H83" i="1"/>
  <c r="H116" i="1"/>
  <c r="G120" i="1"/>
  <c r="H39" i="1"/>
  <c r="H88" i="1"/>
  <c r="H61" i="1"/>
  <c r="H79" i="1"/>
  <c r="H68" i="1"/>
  <c r="H75" i="1"/>
  <c r="H126" i="1"/>
  <c r="H27" i="1"/>
  <c r="H65" i="1"/>
  <c r="H113" i="1"/>
  <c r="H26" i="1"/>
  <c r="H64" i="1"/>
  <c r="H109" i="1"/>
  <c r="H122" i="1"/>
  <c r="H42" i="1"/>
  <c r="H91" i="1"/>
  <c r="H95" i="1"/>
  <c r="H105" i="1"/>
  <c r="H101" i="1"/>
  <c r="H20" i="1"/>
  <c r="H29" i="1"/>
  <c r="H31" i="1"/>
  <c r="H35" i="1"/>
  <c r="H45" i="1"/>
  <c r="H41" i="1"/>
  <c r="H49" i="1"/>
  <c r="H55" i="1"/>
  <c r="H51" i="1"/>
  <c r="H71" i="1"/>
  <c r="H67" i="1"/>
  <c r="H63" i="1"/>
  <c r="H82" i="1"/>
  <c r="H78" i="1"/>
  <c r="H74" i="1"/>
  <c r="H94" i="1"/>
  <c r="H90" i="1"/>
  <c r="H97" i="1"/>
  <c r="H104" i="1"/>
  <c r="H100" i="1"/>
  <c r="H119" i="1"/>
  <c r="H115" i="1"/>
  <c r="H111" i="1"/>
  <c r="H125" i="1"/>
  <c r="G48" i="1"/>
  <c r="G21" i="1"/>
  <c r="H19" i="1"/>
  <c r="H46" i="1"/>
  <c r="H86" i="1"/>
  <c r="G96" i="1"/>
  <c r="H22" i="1"/>
  <c r="H28" i="1"/>
  <c r="H34" i="1"/>
  <c r="H37" i="1"/>
  <c r="H44" i="1"/>
  <c r="H40" i="1"/>
  <c r="H59" i="1"/>
  <c r="H54" i="1"/>
  <c r="H50" i="1"/>
  <c r="H70" i="1"/>
  <c r="H66" i="1"/>
  <c r="H62" i="1"/>
  <c r="H81" i="1"/>
  <c r="H77" i="1"/>
  <c r="H85" i="1"/>
  <c r="H93" i="1"/>
  <c r="H89" i="1"/>
  <c r="H107" i="1"/>
  <c r="H103" i="1"/>
  <c r="H99" i="1"/>
  <c r="H118" i="1"/>
  <c r="H114" i="1"/>
  <c r="H110" i="1"/>
  <c r="H124" i="1"/>
  <c r="G108" i="1"/>
  <c r="G84" i="1"/>
  <c r="G36" i="1"/>
  <c r="H38" i="1"/>
  <c r="H56" i="1"/>
  <c r="H52" i="1"/>
  <c r="H33" i="1"/>
  <c r="H47" i="1"/>
  <c r="H43" i="1"/>
  <c r="H57" i="1"/>
  <c r="H53" i="1"/>
  <c r="H69" i="1"/>
  <c r="H73" i="1"/>
  <c r="H80" i="1"/>
  <c r="H76" i="1"/>
  <c r="H87" i="1"/>
  <c r="H92" i="1"/>
  <c r="H106" i="1"/>
  <c r="H102" i="1"/>
  <c r="H117" i="1"/>
  <c r="H121" i="1"/>
  <c r="C126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J31" i="1" l="1"/>
  <c r="J19" i="1"/>
  <c r="J70" i="1"/>
  <c r="J66" i="1"/>
  <c r="J62" i="1"/>
  <c r="J42" i="1"/>
  <c r="J109" i="1"/>
  <c r="J73" i="1"/>
  <c r="J104" i="1"/>
  <c r="J36" i="1"/>
  <c r="J32" i="1"/>
  <c r="J28" i="1"/>
  <c r="J24" i="1"/>
  <c r="J20" i="1"/>
  <c r="J16" i="1"/>
  <c r="J71" i="1"/>
  <c r="J67" i="1"/>
  <c r="J63" i="1"/>
  <c r="J59" i="1"/>
  <c r="J55" i="1"/>
  <c r="J51" i="1"/>
  <c r="J47" i="1"/>
  <c r="J43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37" i="1"/>
  <c r="J33" i="1"/>
  <c r="J29" i="1"/>
  <c r="J25" i="1"/>
  <c r="J21" i="1"/>
  <c r="J17" i="1"/>
  <c r="J68" i="1"/>
  <c r="J64" i="1"/>
  <c r="J60" i="1"/>
  <c r="J56" i="1"/>
  <c r="J52" i="1"/>
  <c r="J48" i="1"/>
  <c r="J44" i="1"/>
  <c r="J40" i="1"/>
  <c r="J123" i="1"/>
  <c r="J119" i="1"/>
  <c r="J115" i="1"/>
  <c r="J111" i="1"/>
  <c r="J107" i="1"/>
  <c r="J99" i="1"/>
  <c r="J95" i="1"/>
  <c r="J91" i="1"/>
  <c r="J87" i="1"/>
  <c r="J83" i="1"/>
  <c r="J79" i="1"/>
  <c r="J75" i="1"/>
  <c r="J126" i="1"/>
  <c r="J39" i="1"/>
  <c r="J35" i="1"/>
  <c r="J27" i="1"/>
  <c r="J23" i="1"/>
  <c r="J15" i="1"/>
  <c r="J58" i="1"/>
  <c r="J54" i="1"/>
  <c r="J50" i="1"/>
  <c r="J46" i="1"/>
  <c r="J125" i="1"/>
  <c r="J121" i="1"/>
  <c r="J117" i="1"/>
  <c r="J113" i="1"/>
  <c r="J105" i="1"/>
  <c r="J101" i="1"/>
  <c r="J97" i="1"/>
  <c r="J93" i="1"/>
  <c r="J89" i="1"/>
  <c r="J85" i="1"/>
  <c r="J81" i="1"/>
  <c r="J77" i="1"/>
  <c r="J34" i="1"/>
  <c r="J30" i="1"/>
  <c r="J22" i="1"/>
  <c r="J69" i="1"/>
  <c r="J61" i="1"/>
  <c r="J49" i="1"/>
  <c r="J45" i="1"/>
  <c r="J41" i="1"/>
  <c r="J124" i="1"/>
  <c r="J116" i="1"/>
  <c r="J112" i="1"/>
  <c r="J108" i="1"/>
  <c r="J100" i="1"/>
  <c r="J92" i="1"/>
  <c r="J84" i="1"/>
  <c r="J80" i="1"/>
  <c r="J76" i="1"/>
  <c r="G106" i="1"/>
  <c r="G107" i="1"/>
  <c r="G28" i="1"/>
  <c r="G100" i="1"/>
  <c r="G55" i="1"/>
  <c r="G26" i="1"/>
  <c r="G116" i="1"/>
  <c r="G50" i="1"/>
  <c r="G44" i="1"/>
  <c r="G22" i="1"/>
  <c r="G19" i="1"/>
  <c r="G111" i="1"/>
  <c r="G104" i="1"/>
  <c r="G74" i="1"/>
  <c r="G67" i="1"/>
  <c r="G49" i="1"/>
  <c r="G31" i="1"/>
  <c r="G105" i="1"/>
  <c r="G122" i="1"/>
  <c r="G113" i="1"/>
  <c r="G75" i="1"/>
  <c r="G88" i="1"/>
  <c r="G83" i="1"/>
  <c r="G23" i="1"/>
  <c r="J103" i="1"/>
  <c r="G123" i="1"/>
  <c r="G25" i="1"/>
  <c r="G80" i="1"/>
  <c r="G52" i="1"/>
  <c r="G77" i="1"/>
  <c r="G40" i="1"/>
  <c r="G125" i="1"/>
  <c r="G63" i="1"/>
  <c r="G101" i="1"/>
  <c r="G126" i="1"/>
  <c r="G58" i="1"/>
  <c r="J120" i="1"/>
  <c r="J53" i="1"/>
  <c r="J88" i="1"/>
  <c r="J57" i="1"/>
  <c r="G92" i="1"/>
  <c r="G43" i="1"/>
  <c r="G89" i="1"/>
  <c r="G117" i="1"/>
  <c r="G87" i="1"/>
  <c r="G69" i="1"/>
  <c r="G47" i="1"/>
  <c r="G38" i="1"/>
  <c r="G124" i="1"/>
  <c r="G99" i="1"/>
  <c r="G93" i="1"/>
  <c r="G62" i="1"/>
  <c r="G54" i="1"/>
  <c r="G37" i="1"/>
  <c r="G115" i="1"/>
  <c r="G97" i="1"/>
  <c r="G78" i="1"/>
  <c r="G71" i="1"/>
  <c r="G41" i="1"/>
  <c r="G29" i="1"/>
  <c r="G95" i="1"/>
  <c r="G109" i="1"/>
  <c r="G65" i="1"/>
  <c r="G68" i="1"/>
  <c r="G39" i="1"/>
  <c r="G32" i="1"/>
  <c r="G112" i="1"/>
  <c r="G57" i="1"/>
  <c r="G114" i="1"/>
  <c r="G70" i="1"/>
  <c r="G46" i="1"/>
  <c r="G94" i="1"/>
  <c r="G35" i="1"/>
  <c r="G42" i="1"/>
  <c r="G61" i="1"/>
  <c r="J65" i="1"/>
  <c r="G121" i="1"/>
  <c r="G73" i="1"/>
  <c r="G56" i="1"/>
  <c r="G118" i="1"/>
  <c r="G81" i="1"/>
  <c r="J38" i="1"/>
  <c r="J26" i="1"/>
  <c r="J18" i="1"/>
  <c r="J14" i="1"/>
  <c r="J96" i="1"/>
  <c r="J72" i="1"/>
  <c r="G102" i="1"/>
  <c r="G76" i="1"/>
  <c r="G53" i="1"/>
  <c r="G33" i="1"/>
  <c r="G110" i="1"/>
  <c r="G103" i="1"/>
  <c r="G85" i="1"/>
  <c r="G66" i="1"/>
  <c r="G59" i="1"/>
  <c r="G34" i="1"/>
  <c r="G86" i="1"/>
  <c r="G119" i="1"/>
  <c r="G90" i="1"/>
  <c r="G82" i="1"/>
  <c r="G51" i="1"/>
  <c r="G45" i="1"/>
  <c r="G20" i="1"/>
  <c r="G91" i="1"/>
  <c r="G64" i="1"/>
  <c r="G27" i="1"/>
  <c r="G79" i="1"/>
  <c r="G98" i="1"/>
  <c r="M127" i="1" l="1"/>
  <c r="N127" i="1"/>
  <c r="L127" i="1"/>
  <c r="O127" i="1"/>
  <c r="O10" i="1" l="1"/>
</calcChain>
</file>

<file path=xl/sharedStrings.xml><?xml version="1.0" encoding="utf-8"?>
<sst xmlns="http://schemas.openxmlformats.org/spreadsheetml/2006/main" count="169" uniqueCount="80">
  <si>
    <t>1st period</t>
    <phoneticPr fontId="1" type="noConversion"/>
  </si>
  <si>
    <t>2nd period</t>
    <phoneticPr fontId="1" type="noConversion"/>
  </si>
  <si>
    <t>USD</t>
    <phoneticPr fontId="1" type="noConversion"/>
  </si>
  <si>
    <t>JPY/USD</t>
    <phoneticPr fontId="1" type="noConversion"/>
  </si>
  <si>
    <t>Exchange Amount</t>
    <phoneticPr fontId="1" type="noConversion"/>
  </si>
  <si>
    <t>Exchange Rate</t>
    <phoneticPr fontId="1" type="noConversion"/>
  </si>
  <si>
    <t>Condition</t>
    <phoneticPr fontId="1" type="noConversion"/>
  </si>
  <si>
    <t>&lt;=FX</t>
    <phoneticPr fontId="1" type="noConversion"/>
  </si>
  <si>
    <t xml:space="preserve">      FX&lt;</t>
    <phoneticPr fontId="1" type="noConversion"/>
  </si>
  <si>
    <t xml:space="preserve">  &lt;=FX&lt;</t>
    <phoneticPr fontId="1" type="noConversion"/>
  </si>
  <si>
    <t>Target Amount</t>
    <phoneticPr fontId="1" type="noConversion"/>
  </si>
  <si>
    <t>JPY</t>
    <phoneticPr fontId="1" type="noConversion"/>
  </si>
  <si>
    <t>fixing date</t>
    <phoneticPr fontId="1" type="noConversion"/>
  </si>
  <si>
    <t xml:space="preserve">settlement date </t>
    <phoneticPr fontId="1" type="noConversion"/>
  </si>
  <si>
    <t>term</t>
    <phoneticPr fontId="1" type="noConversion"/>
  </si>
  <si>
    <t>Today/Start date</t>
    <phoneticPr fontId="1" type="noConversion"/>
  </si>
  <si>
    <t>SOFRRATE</t>
  </si>
  <si>
    <t>O/N</t>
  </si>
  <si>
    <t>T/N</t>
  </si>
  <si>
    <t>\USD OIS SOFR</t>
  </si>
  <si>
    <t>2W</t>
  </si>
  <si>
    <t>1M</t>
  </si>
  <si>
    <t>2M</t>
  </si>
  <si>
    <t>3M</t>
  </si>
  <si>
    <t>4M</t>
  </si>
  <si>
    <t>5M</t>
  </si>
  <si>
    <t>6M</t>
  </si>
  <si>
    <t>9M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</si>
  <si>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</si>
  <si>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</si>
  <si>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</si>
  <si>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</si>
  <si>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</si>
  <si>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</si>
  <si>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</si>
  <si>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</si>
  <si>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</si>
  <si>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</si>
  <si>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</si>
  <si>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</si>
  <si>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</si>
  <si>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</si>
  <si>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</si>
  <si>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</si>
  <si>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</si>
  <si>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USD/JPY SWAP PT</t>
  </si>
  <si>
    <t>USD/JPY SW PT N</t>
  </si>
  <si>
    <t>1W</t>
  </si>
  <si>
    <t>3W</t>
  </si>
  <si>
    <t>7M</t>
  </si>
  <si>
    <t>8M</t>
  </si>
  <si>
    <t>10M</t>
  </si>
  <si>
    <t>11M</t>
  </si>
  <si>
    <t>Zero(USD)</t>
    <phoneticPr fontId="1" type="noConversion"/>
  </si>
  <si>
    <t>disc(USD)</t>
    <phoneticPr fontId="1" type="noConversion"/>
  </si>
  <si>
    <t>disc(JPY)</t>
    <phoneticPr fontId="1" type="noConversion"/>
  </si>
  <si>
    <t>Zero(JPY)</t>
    <phoneticPr fontId="1" type="noConversion"/>
  </si>
  <si>
    <t>Mo: 7</t>
  </si>
  <si>
    <t>We: 30</t>
  </si>
  <si>
    <t>Th: 59</t>
  </si>
  <si>
    <t>Mo: 91</t>
  </si>
  <si>
    <t>Fr: 179</t>
  </si>
  <si>
    <t>Mo: 273</t>
  </si>
  <si>
    <t>Tu: 365</t>
  </si>
  <si>
    <t>We: 730</t>
  </si>
  <si>
    <t>Fr: 1824</t>
  </si>
  <si>
    <t>We: 2557</t>
  </si>
  <si>
    <t>Fr: 3651</t>
  </si>
  <si>
    <t>vol</t>
    <phoneticPr fontId="1" type="noConversion"/>
  </si>
  <si>
    <t>fwd vol</t>
    <phoneticPr fontId="1" type="noConversion"/>
  </si>
  <si>
    <t>SPOT=</t>
    <phoneticPr fontId="1" type="noConversion"/>
  </si>
  <si>
    <t>Case 1</t>
    <phoneticPr fontId="1" type="noConversion"/>
  </si>
  <si>
    <t>Case 2</t>
    <phoneticPr fontId="1" type="noConversion"/>
  </si>
  <si>
    <t>Case 3</t>
    <phoneticPr fontId="1" type="noConversion"/>
  </si>
  <si>
    <t>months</t>
    <phoneticPr fontId="1" type="noConversion"/>
  </si>
  <si>
    <t>Months</t>
    <phoneticPr fontId="1" type="noConversion"/>
  </si>
  <si>
    <t>USD</t>
    <phoneticPr fontId="1" type="noConversion"/>
  </si>
  <si>
    <t>NO</t>
  </si>
  <si>
    <t>Can the total amount over the target ?</t>
    <phoneticPr fontId="1" type="noConversion"/>
  </si>
  <si>
    <t>Analytical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</si>
</sst>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76" formatCode="_-* #,##0.00000000_-;\-* #,##0.00000000_-;_-* &quot;-&quot;??_-;_-@_-"/>
    <numFmt numFmtId="177" formatCode="0.00_);[Red]\(0.00\)"/>
  </numFmts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Arial"/>
      <family val="2"/>
    </font>
    <font>
      <sz val="11"/>
      <color theme="8" tint="-0.249977111117893"/>
      <name val="Arial"/>
      <family val="2"/>
    </font>
    <font>
      <sz val="11"/>
      <color theme="0" tint="-0.249977111117893"/>
      <name val="Arial"/>
      <family val="2"/>
    </font>
    <font>
      <sz val="12"/>
      <color theme="1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20"/>
      <color rgb="FF000000"/>
      <name val="Arial"/>
      <family val="2"/>
    </font>
    <font>
      <sz val="26"/>
      <color theme="1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1"/>
      <name val="Arial"/>
      <family val="2"/>
    </font>
    <font>
      <b/>
      <sz val="16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4" fontId="2" fillId="0" borderId="0" xfId="0" applyNumberFormat="1" applyFont="1" applyFill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2" fillId="4" borderId="0" xfId="0" applyFont="1" applyFill="1" applyBorder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Border="1">
      <alignment vertical="center"/>
    </xf>
    <xf numFmtId="0" fontId="2" fillId="4" borderId="0" xfId="0" applyFont="1" applyFill="1" applyBorder="1" applyAlignment="1">
      <alignment horizontal="center"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4" borderId="2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5" borderId="7" xfId="0" applyFont="1" applyFill="1" applyBorder="1" applyAlignment="1">
      <alignment horizontal="right" vertical="center"/>
    </xf>
    <xf numFmtId="0" fontId="2" fillId="5" borderId="8" xfId="0" applyNumberFormat="1" applyFont="1" applyFill="1" applyBorder="1">
      <alignment vertical="center"/>
    </xf>
    <xf numFmtId="0" fontId="2" fillId="5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>
      <alignment vertical="center"/>
    </xf>
    <xf numFmtId="0" fontId="2" fillId="2" borderId="3" xfId="0" applyNumberFormat="1" applyFont="1" applyFill="1" applyBorder="1">
      <alignment vertical="center"/>
    </xf>
    <xf numFmtId="0" fontId="2" fillId="2" borderId="4" xfId="0" applyNumberFormat="1" applyFont="1" applyFill="1" applyBorder="1">
      <alignment vertical="center"/>
    </xf>
    <xf numFmtId="0" fontId="2" fillId="2" borderId="5" xfId="0" applyFont="1" applyFill="1" applyBorder="1" applyAlignment="1">
      <alignment horizontal="right" vertical="center"/>
    </xf>
    <xf numFmtId="14" fontId="2" fillId="2" borderId="0" xfId="0" applyNumberFormat="1" applyFont="1" applyFill="1" applyBorder="1" applyAlignment="1">
      <alignment horizontal="right" vertical="center"/>
    </xf>
    <xf numFmtId="14" fontId="2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>
      <alignment vertical="center"/>
    </xf>
    <xf numFmtId="0" fontId="2" fillId="2" borderId="0" xfId="0" applyNumberFormat="1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5" xfId="0" quotePrefix="1" applyFont="1" applyFill="1" applyBorder="1">
      <alignment vertical="center"/>
    </xf>
    <xf numFmtId="14" fontId="2" fillId="2" borderId="0" xfId="0" applyNumberFormat="1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7" xfId="0" applyFont="1" applyFill="1" applyBorder="1">
      <alignment vertical="center"/>
    </xf>
    <xf numFmtId="14" fontId="2" fillId="2" borderId="1" xfId="0" applyNumberFormat="1" applyFont="1" applyFill="1" applyBorder="1">
      <alignment vertical="center"/>
    </xf>
    <xf numFmtId="14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>
      <alignment vertical="center"/>
    </xf>
    <xf numFmtId="0" fontId="2" fillId="2" borderId="1" xfId="0" applyNumberFormat="1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right" vertical="center"/>
    </xf>
    <xf numFmtId="43" fontId="2" fillId="0" borderId="0" xfId="1" applyFont="1">
      <alignment vertical="center"/>
    </xf>
    <xf numFmtId="43" fontId="2" fillId="5" borderId="1" xfId="1" applyFont="1" applyFill="1" applyBorder="1">
      <alignment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43" fontId="8" fillId="6" borderId="1" xfId="1" applyFont="1" applyFill="1" applyBorder="1" applyAlignment="1">
      <alignment horizontal="center" vertical="center"/>
    </xf>
    <xf numFmtId="43" fontId="8" fillId="3" borderId="1" xfId="1" applyFont="1" applyFill="1" applyBorder="1" applyAlignment="1">
      <alignment horizontal="center" vertical="center"/>
    </xf>
    <xf numFmtId="43" fontId="2" fillId="6" borderId="0" xfId="1" applyFont="1" applyFill="1">
      <alignment vertical="center"/>
    </xf>
    <xf numFmtId="43" fontId="2" fillId="3" borderId="0" xfId="1" applyFont="1" applyFill="1">
      <alignment vertical="center"/>
    </xf>
    <xf numFmtId="43" fontId="8" fillId="3" borderId="0" xfId="1" applyFont="1" applyFill="1">
      <alignment vertical="center"/>
    </xf>
    <xf numFmtId="43" fontId="2" fillId="5" borderId="0" xfId="1" applyFont="1" applyFill="1" applyBorder="1">
      <alignment vertical="center"/>
    </xf>
    <xf numFmtId="43" fontId="2" fillId="4" borderId="0" xfId="1" applyFont="1" applyFill="1" applyBorder="1">
      <alignment vertical="center"/>
    </xf>
    <xf numFmtId="43" fontId="2" fillId="5" borderId="1" xfId="1" applyFont="1" applyFill="1" applyBorder="1" applyAlignment="1">
      <alignment horizontal="left" vertical="center"/>
    </xf>
    <xf numFmtId="0" fontId="12" fillId="0" borderId="0" xfId="0" applyFont="1">
      <alignment vertical="center"/>
    </xf>
    <xf numFmtId="0" fontId="11" fillId="0" borderId="1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43" fontId="8" fillId="3" borderId="0" xfId="1" applyFont="1" applyFill="1" applyAlignment="1">
      <alignment horizontal="center" vertical="center"/>
    </xf>
    <xf numFmtId="43" fontId="7" fillId="3" borderId="0" xfId="1" applyFont="1" applyFill="1" applyBorder="1" applyAlignment="1">
      <alignment horizontal="center" vertical="center"/>
    </xf>
    <xf numFmtId="43" fontId="7" fillId="3" borderId="1" xfId="1" applyFont="1" applyFill="1" applyBorder="1" applyAlignment="1">
      <alignment horizontal="center" vertical="center"/>
    </xf>
    <xf numFmtId="43" fontId="10" fillId="0" borderId="0" xfId="1" applyFont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43" fontId="10" fillId="0" borderId="0" xfId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7" fontId="10" fillId="0" borderId="0" xfId="1" applyNumberFormat="1" applyFont="1" applyAlignment="1">
      <alignment horizontal="right" vertical="center"/>
    </xf>
    <xf numFmtId="43" fontId="8" fillId="6" borderId="9" xfId="1" applyFont="1" applyFill="1" applyBorder="1" applyAlignment="1">
      <alignment horizontal="center" vertical="center"/>
    </xf>
    <xf numFmtId="43" fontId="8" fillId="3" borderId="9" xfId="1" applyFont="1" applyFill="1" applyBorder="1" applyAlignment="1">
      <alignment horizontal="center" vertical="center"/>
    </xf>
    <xf numFmtId="43" fontId="7" fillId="6" borderId="0" xfId="1" applyFont="1" applyFill="1" applyBorder="1" applyAlignment="1">
      <alignment horizontal="center" vertical="center"/>
    </xf>
    <xf numFmtId="43" fontId="7" fillId="6" borderId="1" xfId="1" applyFont="1" applyFill="1" applyBorder="1" applyAlignment="1">
      <alignment horizontal="center" vertical="center"/>
    </xf>
    <xf numFmtId="43" fontId="8" fillId="6" borderId="0" xfId="1" applyFont="1" applyFill="1" applyBorder="1" applyAlignment="1">
      <alignment horizontal="center" vertical="center"/>
    </xf>
    <xf numFmtId="43" fontId="8" fillId="6" borderId="1" xfId="1" applyFont="1" applyFill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9</xdr:row>
          <xdr:rowOff>9525</xdr:rowOff>
        </xdr:from>
        <xdr:to>
          <xdr:col>17</xdr:col>
          <xdr:colOff>1257300</xdr:colOff>
          <xdr:row>10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148"/>
  <sheetViews>
    <sheetView topLeftCell="A4" zoomScale="70" zoomScaleNormal="70" workbookViewId="0">
      <selection activeCell="Q9" sqref="Q9"/>
    </sheetView>
  </sheetViews>
  <sheetFormatPr defaultRowHeight="16.5" x14ac:dyDescent="0.25"/>
  <cols>
    <col min="1" max="1" width="2.5" style="4" customWidth="1"/>
    <col min="2" max="2" width="14.875" style="4" bestFit="1" customWidth="1"/>
    <col min="3" max="3" width="14.375" style="4" customWidth="1"/>
    <col min="4" max="4" width="11.125" style="4" customWidth="1"/>
    <col min="5" max="5" width="12.75" style="4" bestFit="1" customWidth="1"/>
    <col min="6" max="6" width="13.625" style="4" bestFit="1" customWidth="1"/>
    <col min="7" max="7" width="12.75" style="4" customWidth="1"/>
    <col min="8" max="8" width="12.75" style="4" bestFit="1" customWidth="1"/>
    <col min="9" max="9" width="12.75" style="9" bestFit="1" customWidth="1"/>
    <col min="10" max="10" width="12.75" style="4" bestFit="1" customWidth="1"/>
    <col min="11" max="11" width="1.875" style="4" customWidth="1"/>
    <col min="12" max="14" width="15.125" style="4" customWidth="1"/>
    <col min="15" max="15" width="15.125" customWidth="1"/>
    <col min="16" max="16" width="15.375" style="4" customWidth="1"/>
    <col min="17" max="19" width="15.125" style="4" customWidth="1"/>
    <col min="20" max="20" width="14.625" style="4" bestFit="1" customWidth="1"/>
    <col min="21" max="21" width="14.75" style="4" bestFit="1" customWidth="1"/>
    <col min="22" max="22" width="16" style="4" bestFit="1" customWidth="1"/>
    <col min="23" max="23" width="10.625" bestFit="1" customWidth="1"/>
    <col min="24" max="24" width="12.875" style="4" bestFit="1" customWidth="1"/>
    <col min="25" max="25" width="12.75" style="4" bestFit="1" customWidth="1"/>
    <col min="26" max="26" width="14.125" style="4" bestFit="1" customWidth="1"/>
    <col min="27" max="31" width="11.125" style="4" customWidth="1"/>
    <col min="32" max="44" width="13.5" style="4" bestFit="1" customWidth="1"/>
    <col min="45" max="16384" width="9" style="4"/>
  </cols>
  <sheetData>
    <row r="1" spans="2:19" ht="15" customHeight="1" x14ac:dyDescent="0.25">
      <c r="F1" s="6"/>
      <c r="G1" s="7"/>
      <c r="H1" s="6"/>
      <c r="I1" s="7"/>
      <c r="K1" s="8"/>
    </row>
    <row r="2" spans="2:19" ht="18" x14ac:dyDescent="0.25">
      <c r="B2" s="16"/>
      <c r="C2" s="68" t="s">
        <v>6</v>
      </c>
      <c r="D2" s="68"/>
      <c r="E2" s="68"/>
      <c r="F2" s="68" t="s">
        <v>4</v>
      </c>
      <c r="G2" s="68"/>
      <c r="H2" s="68" t="s">
        <v>5</v>
      </c>
      <c r="I2" s="69"/>
      <c r="L2" s="61" t="s">
        <v>78</v>
      </c>
      <c r="O2" s="62" t="s">
        <v>77</v>
      </c>
    </row>
    <row r="3" spans="2:19" x14ac:dyDescent="0.25">
      <c r="B3" s="51" t="s">
        <v>0</v>
      </c>
      <c r="C3" s="21">
        <v>117.3</v>
      </c>
      <c r="D3" s="11" t="s">
        <v>7</v>
      </c>
      <c r="E3" s="23"/>
      <c r="F3" s="58">
        <v>100000</v>
      </c>
      <c r="G3" s="12" t="s">
        <v>2</v>
      </c>
      <c r="H3" s="12">
        <v>117.3</v>
      </c>
      <c r="I3" s="17" t="s">
        <v>3</v>
      </c>
    </row>
    <row r="4" spans="2:19" ht="15.75" customHeight="1" x14ac:dyDescent="0.25">
      <c r="B4" s="51">
        <v>24</v>
      </c>
      <c r="C4" s="21"/>
      <c r="D4" s="11" t="s">
        <v>9</v>
      </c>
      <c r="E4" s="23">
        <f>C3</f>
        <v>117.3</v>
      </c>
      <c r="F4" s="58">
        <v>0</v>
      </c>
      <c r="G4" s="12" t="s">
        <v>2</v>
      </c>
      <c r="H4" s="12">
        <v>117.3</v>
      </c>
      <c r="I4" s="17" t="s">
        <v>3</v>
      </c>
      <c r="K4" s="6"/>
      <c r="L4" s="63"/>
      <c r="O4" s="49"/>
    </row>
    <row r="5" spans="2:19" ht="16.5" customHeight="1" x14ac:dyDescent="0.25">
      <c r="B5" s="46" t="s">
        <v>74</v>
      </c>
      <c r="C5" s="21"/>
      <c r="D5" s="11" t="s">
        <v>8</v>
      </c>
      <c r="E5" s="23"/>
      <c r="F5" s="58"/>
      <c r="G5" s="12"/>
      <c r="H5" s="12"/>
      <c r="I5" s="17"/>
      <c r="K5" s="6"/>
      <c r="L5" s="67">
        <v>-182094.56157536368</v>
      </c>
      <c r="M5" s="67"/>
      <c r="N5" s="70" t="s">
        <v>76</v>
      </c>
      <c r="P5" s="72">
        <v>32.420999999999999</v>
      </c>
      <c r="Q5" s="67" t="s">
        <v>75</v>
      </c>
    </row>
    <row r="6" spans="2:19" ht="16.5" customHeight="1" x14ac:dyDescent="0.25">
      <c r="B6" s="52" t="s">
        <v>1</v>
      </c>
      <c r="C6" s="22">
        <v>109.9</v>
      </c>
      <c r="D6" s="13" t="s">
        <v>7</v>
      </c>
      <c r="E6" s="24"/>
      <c r="F6" s="59">
        <v>100000</v>
      </c>
      <c r="G6" s="10" t="s">
        <v>2</v>
      </c>
      <c r="H6" s="10">
        <v>109.9</v>
      </c>
      <c r="I6" s="18" t="s">
        <v>3</v>
      </c>
      <c r="K6" s="6"/>
      <c r="L6" s="67"/>
      <c r="M6" s="67"/>
      <c r="N6" s="70"/>
      <c r="P6" s="72"/>
      <c r="Q6" s="67"/>
    </row>
    <row r="7" spans="2:19" ht="16.5" customHeight="1" x14ac:dyDescent="0.25">
      <c r="B7" s="52">
        <v>58</v>
      </c>
      <c r="C7" s="22">
        <v>99.9</v>
      </c>
      <c r="D7" s="13" t="s">
        <v>9</v>
      </c>
      <c r="E7" s="24">
        <f>C6</f>
        <v>109.9</v>
      </c>
      <c r="F7" s="59">
        <v>0</v>
      </c>
      <c r="G7" s="10" t="s">
        <v>2</v>
      </c>
      <c r="H7" s="10">
        <v>0</v>
      </c>
      <c r="I7" s="18" t="s">
        <v>3</v>
      </c>
      <c r="L7" s="67"/>
      <c r="M7" s="67"/>
      <c r="N7" s="67"/>
      <c r="O7" s="70"/>
      <c r="P7" s="71"/>
      <c r="Q7" s="71"/>
      <c r="R7" s="67"/>
    </row>
    <row r="8" spans="2:19" ht="14.25" customHeight="1" x14ac:dyDescent="0.25">
      <c r="B8" s="47" t="s">
        <v>74</v>
      </c>
      <c r="C8" s="22"/>
      <c r="D8" s="13" t="s">
        <v>8</v>
      </c>
      <c r="E8" s="24">
        <f>C7</f>
        <v>99.9</v>
      </c>
      <c r="F8" s="59">
        <v>200000</v>
      </c>
      <c r="G8" s="10" t="s">
        <v>2</v>
      </c>
      <c r="H8" s="10">
        <v>117.3</v>
      </c>
      <c r="I8" s="18" t="s">
        <v>3</v>
      </c>
      <c r="L8" s="67"/>
      <c r="M8" s="67"/>
      <c r="N8" s="67"/>
      <c r="O8" s="70"/>
      <c r="P8" s="71"/>
      <c r="Q8" s="71"/>
      <c r="R8" s="67"/>
    </row>
    <row r="9" spans="2:19" ht="16.5" customHeight="1" x14ac:dyDescent="0.25">
      <c r="B9" s="19" t="s">
        <v>10</v>
      </c>
      <c r="C9" s="50">
        <f>30000000</f>
        <v>30000000</v>
      </c>
      <c r="D9" s="15" t="s">
        <v>11</v>
      </c>
      <c r="E9" s="48" t="s">
        <v>70</v>
      </c>
      <c r="F9" s="60">
        <v>138.71</v>
      </c>
      <c r="G9" s="14"/>
      <c r="H9" s="14"/>
      <c r="I9" s="20"/>
      <c r="O9" s="4"/>
    </row>
    <row r="10" spans="2:19" ht="8.25" customHeight="1" x14ac:dyDescent="0.25">
      <c r="L10" s="75" t="s">
        <v>79</v>
      </c>
      <c r="M10" s="75"/>
      <c r="N10" s="75"/>
      <c r="O10" s="77">
        <f>SUM(L127:O127)</f>
        <v>35952376.912660792</v>
      </c>
      <c r="P10" s="65"/>
      <c r="Q10" s="65"/>
      <c r="R10" s="65"/>
      <c r="S10" s="64">
        <f>SUM(P127:S127)</f>
        <v>44908806.127968043</v>
      </c>
    </row>
    <row r="11" spans="2:19" ht="16.5" customHeight="1" x14ac:dyDescent="0.25">
      <c r="B11" s="25" t="s">
        <v>14</v>
      </c>
      <c r="C11" s="26" t="s">
        <v>12</v>
      </c>
      <c r="D11" s="26" t="s">
        <v>13</v>
      </c>
      <c r="E11" s="26" t="s">
        <v>55</v>
      </c>
      <c r="F11" s="26" t="s">
        <v>56</v>
      </c>
      <c r="G11" s="26" t="s">
        <v>54</v>
      </c>
      <c r="H11" s="26" t="s">
        <v>53</v>
      </c>
      <c r="I11" s="27" t="s">
        <v>68</v>
      </c>
      <c r="J11" s="28" t="s">
        <v>69</v>
      </c>
      <c r="L11" s="76"/>
      <c r="M11" s="76"/>
      <c r="N11" s="76"/>
      <c r="O11" s="78"/>
      <c r="P11" s="66"/>
      <c r="Q11" s="66"/>
      <c r="R11" s="66"/>
      <c r="S11" s="64"/>
    </row>
    <row r="12" spans="2:19" ht="16.5" customHeight="1" x14ac:dyDescent="0.25">
      <c r="B12" s="29" t="s">
        <v>15</v>
      </c>
      <c r="C12" s="30">
        <v>44802</v>
      </c>
      <c r="D12" s="31">
        <f>C12+2</f>
        <v>44804</v>
      </c>
      <c r="E12" s="32">
        <f>EXP(-F12/100*(D12-$C$12)/365)</f>
        <v>1.0000117458359412</v>
      </c>
      <c r="F12" s="32">
        <f>Rates!N5</f>
        <v>-0.214360247008066</v>
      </c>
      <c r="G12" s="32">
        <f t="shared" ref="G12:G43" si="0">EXP(-H12/100*(D12-$C$12)/365)</f>
        <v>0.99987334536564143</v>
      </c>
      <c r="H12" s="32">
        <f>Rates!G5</f>
        <v>2.3115934671460101</v>
      </c>
      <c r="I12" s="33"/>
      <c r="J12" s="34"/>
      <c r="L12" s="53" t="s">
        <v>71</v>
      </c>
      <c r="M12" s="73" t="s">
        <v>72</v>
      </c>
      <c r="N12" s="73"/>
      <c r="O12" s="53" t="s">
        <v>73</v>
      </c>
      <c r="P12" s="54" t="s">
        <v>71</v>
      </c>
      <c r="Q12" s="74" t="s">
        <v>72</v>
      </c>
      <c r="R12" s="74"/>
      <c r="S12" s="54" t="s">
        <v>73</v>
      </c>
    </row>
    <row r="13" spans="2:19" x14ac:dyDescent="0.25">
      <c r="B13" s="35">
        <v>1</v>
      </c>
      <c r="C13" s="36">
        <f t="shared" ref="C13:C76" si="1">D13-2</f>
        <v>44832</v>
      </c>
      <c r="D13" s="31">
        <v>44834</v>
      </c>
      <c r="E13" s="37">
        <f>EXP(-F13/100*(D13-$C$12)/365)</f>
        <v>1.0002446127009041</v>
      </c>
      <c r="F13" s="37">
        <f>Rates!N9</f>
        <v>-0.27897724267122198</v>
      </c>
      <c r="G13" s="37">
        <f t="shared" si="0"/>
        <v>0.99782564084605474</v>
      </c>
      <c r="H13" s="37">
        <f>Rates!G9</f>
        <v>2.4828286698576201</v>
      </c>
      <c r="I13" s="33">
        <f>Vols!E4</f>
        <v>12.52</v>
      </c>
      <c r="J13" s="34">
        <f>I13</f>
        <v>12.52</v>
      </c>
      <c r="L13" s="55">
        <v>2107970.5613159426</v>
      </c>
      <c r="M13" s="55">
        <v>0</v>
      </c>
      <c r="N13" s="55">
        <v>0</v>
      </c>
      <c r="O13" s="55">
        <v>0</v>
      </c>
      <c r="P13" s="56">
        <v>2097803.3612910407</v>
      </c>
      <c r="Q13" s="56">
        <v>0</v>
      </c>
      <c r="R13" s="56">
        <v>0</v>
      </c>
      <c r="S13" s="56">
        <v>0</v>
      </c>
    </row>
    <row r="14" spans="2:19" x14ac:dyDescent="0.25">
      <c r="B14" s="35">
        <v>2</v>
      </c>
      <c r="C14" s="36">
        <f t="shared" si="1"/>
        <v>44863</v>
      </c>
      <c r="D14" s="31">
        <v>44865</v>
      </c>
      <c r="E14" s="37">
        <f t="shared" ref="E14:E77" si="2">EXP(-F14/100*(D14-$C$12)/365)</f>
        <v>1.0006617194100811</v>
      </c>
      <c r="F14" s="37">
        <f>Rates!N10</f>
        <v>-0.38325033042774798</v>
      </c>
      <c r="G14" s="37">
        <f t="shared" si="0"/>
        <v>0.99528366386597744</v>
      </c>
      <c r="H14" s="37">
        <f>Rates!G10</f>
        <v>2.7389444389724802</v>
      </c>
      <c r="I14" s="33">
        <f>Vols!E5</f>
        <v>11.75</v>
      </c>
      <c r="J14" s="34">
        <f>((I14^2*(C14-$C$12)-I13^2*(C13-$C$12))/(C14-C13))^0.5</f>
        <v>10.953421177142372</v>
      </c>
      <c r="L14" s="55">
        <v>2067889.9056651648</v>
      </c>
      <c r="M14" s="55">
        <v>0</v>
      </c>
      <c r="N14" s="55">
        <v>0</v>
      </c>
      <c r="O14" s="55">
        <v>0</v>
      </c>
      <c r="P14" s="56">
        <v>2063028.8136765508</v>
      </c>
      <c r="Q14" s="56">
        <v>0</v>
      </c>
      <c r="R14" s="56">
        <v>0</v>
      </c>
      <c r="S14" s="56">
        <v>0</v>
      </c>
    </row>
    <row r="15" spans="2:19" x14ac:dyDescent="0.25">
      <c r="B15" s="35">
        <v>3</v>
      </c>
      <c r="C15" s="36">
        <f t="shared" si="1"/>
        <v>44893</v>
      </c>
      <c r="D15" s="31">
        <v>44895</v>
      </c>
      <c r="E15" s="37">
        <f t="shared" si="2"/>
        <v>1.0009678715648427</v>
      </c>
      <c r="F15" s="37">
        <f>Rates!N11</f>
        <v>-0.37967986010303301</v>
      </c>
      <c r="G15" s="37">
        <f t="shared" si="0"/>
        <v>0.99249967653852378</v>
      </c>
      <c r="H15" s="37">
        <f>Rates!G11</f>
        <v>2.9547701066819201</v>
      </c>
      <c r="I15" s="33">
        <f>Vols!E6</f>
        <v>11.477499999999999</v>
      </c>
      <c r="J15" s="34">
        <f>((I15^2*(C15-$C$12)-I14^2*(C14-$C$12))/(C15-C14))^0.5</f>
        <v>10.902432555397899</v>
      </c>
      <c r="L15" s="55">
        <v>2026278.3421933483</v>
      </c>
      <c r="M15" s="55">
        <v>0</v>
      </c>
      <c r="N15" s="55">
        <v>0</v>
      </c>
      <c r="O15" s="55">
        <v>0</v>
      </c>
      <c r="P15" s="56">
        <v>2017384.8637643729</v>
      </c>
      <c r="Q15" s="56">
        <v>0</v>
      </c>
      <c r="R15" s="56">
        <v>0</v>
      </c>
      <c r="S15" s="56">
        <v>0</v>
      </c>
    </row>
    <row r="16" spans="2:19" x14ac:dyDescent="0.25">
      <c r="B16" s="35">
        <v>4</v>
      </c>
      <c r="C16" s="36">
        <f t="shared" si="1"/>
        <v>44923</v>
      </c>
      <c r="D16" s="31">
        <v>44925</v>
      </c>
      <c r="E16" s="37">
        <f t="shared" si="2"/>
        <v>1.0011606360197005</v>
      </c>
      <c r="F16" s="37">
        <f>Rates!N12</f>
        <v>-0.34421666331887901</v>
      </c>
      <c r="G16" s="37">
        <f t="shared" si="0"/>
        <v>0.9894454805005779</v>
      </c>
      <c r="H16" s="37">
        <f>Rates!G12</f>
        <v>3.14867798574004</v>
      </c>
      <c r="I16" s="37">
        <f>($I$15*($D$18-D16)+$I$18*(D16-$D$15))/($D$18-$D$15)</f>
        <v>11.325833333333334</v>
      </c>
      <c r="J16" s="34">
        <f t="shared" ref="J16:J78" si="3">((I16^2*(C16-$C$12)-I15^2*(C15-$C$12))/(C16-C15))^0.5</f>
        <v>10.852819933513098</v>
      </c>
      <c r="L16" s="55">
        <v>1983460.8073645644</v>
      </c>
      <c r="M16" s="55">
        <v>0</v>
      </c>
      <c r="N16" s="55">
        <v>0</v>
      </c>
      <c r="O16" s="55">
        <v>0</v>
      </c>
      <c r="P16" s="56">
        <v>1969200.8885976034</v>
      </c>
      <c r="Q16" s="56">
        <v>0</v>
      </c>
      <c r="R16" s="56">
        <v>0</v>
      </c>
      <c r="S16" s="56">
        <v>0</v>
      </c>
    </row>
    <row r="17" spans="2:19" x14ac:dyDescent="0.25">
      <c r="B17" s="35">
        <v>5</v>
      </c>
      <c r="C17" s="36">
        <f t="shared" si="1"/>
        <v>44955</v>
      </c>
      <c r="D17" s="31">
        <v>44957</v>
      </c>
      <c r="E17" s="37">
        <f t="shared" si="2"/>
        <v>1.0028043863527656</v>
      </c>
      <c r="F17" s="37">
        <f>Rates!N13</f>
        <v>-0.65946349042748997</v>
      </c>
      <c r="G17" s="37">
        <f t="shared" si="0"/>
        <v>0.98639134841355691</v>
      </c>
      <c r="H17" s="37">
        <f>Rates!G13</f>
        <v>3.2266230870143202</v>
      </c>
      <c r="I17" s="37">
        <f>($I$15*($D$18-D17)+$I$18*(D17-$D$15))/($D$18-$D$15)</f>
        <v>11.164055555555557</v>
      </c>
      <c r="J17" s="34">
        <f t="shared" si="3"/>
        <v>10.529889440962288</v>
      </c>
      <c r="L17" s="55">
        <v>1925685.2468325999</v>
      </c>
      <c r="M17" s="55">
        <v>0</v>
      </c>
      <c r="N17" s="55">
        <v>0</v>
      </c>
      <c r="O17" s="55">
        <v>0</v>
      </c>
      <c r="P17" s="56">
        <v>1942777.256890496</v>
      </c>
      <c r="Q17" s="56">
        <v>0</v>
      </c>
      <c r="R17" s="56">
        <v>0</v>
      </c>
      <c r="S17" s="56">
        <v>0</v>
      </c>
    </row>
    <row r="18" spans="2:19" x14ac:dyDescent="0.25">
      <c r="B18" s="35">
        <v>6</v>
      </c>
      <c r="C18" s="36">
        <f t="shared" si="1"/>
        <v>44983</v>
      </c>
      <c r="D18" s="31">
        <v>44985</v>
      </c>
      <c r="E18" s="37">
        <f t="shared" si="2"/>
        <v>1.0031305384922231</v>
      </c>
      <c r="F18" s="37">
        <f>Rates!N14</f>
        <v>-0.623421707193756</v>
      </c>
      <c r="G18" s="37">
        <f t="shared" si="0"/>
        <v>0.9834908170275023</v>
      </c>
      <c r="H18" s="37">
        <f>Rates!G14</f>
        <v>3.3202989366176099</v>
      </c>
      <c r="I18" s="33">
        <f>Vols!E7</f>
        <v>11.022500000000001</v>
      </c>
      <c r="J18" s="34">
        <f t="shared" si="3"/>
        <v>10.214411658425446</v>
      </c>
      <c r="L18" s="55">
        <v>1886355.2662992775</v>
      </c>
      <c r="M18" s="55">
        <v>0</v>
      </c>
      <c r="N18" s="55">
        <v>0</v>
      </c>
      <c r="O18" s="55">
        <v>0</v>
      </c>
      <c r="P18" s="56">
        <v>1886042.5395794506</v>
      </c>
      <c r="Q18" s="56">
        <v>0</v>
      </c>
      <c r="R18" s="56">
        <v>0</v>
      </c>
      <c r="S18" s="56">
        <v>0</v>
      </c>
    </row>
    <row r="19" spans="2:19" x14ac:dyDescent="0.25">
      <c r="B19" s="35">
        <v>7</v>
      </c>
      <c r="C19" s="36">
        <f t="shared" si="1"/>
        <v>45014</v>
      </c>
      <c r="D19" s="31">
        <v>45016</v>
      </c>
      <c r="E19" s="37">
        <f t="shared" si="2"/>
        <v>1.0035876353405997</v>
      </c>
      <c r="F19" s="37">
        <f>Rates!N15</f>
        <v>-0.61081472976494899</v>
      </c>
      <c r="G19" s="37">
        <f t="shared" si="0"/>
        <v>0.98035733762978794</v>
      </c>
      <c r="H19" s="37">
        <f>($H$18*($D$21-D19)+$H$21*(D19-$D$18))/($D$21-$D$18)</f>
        <v>3.3836085952051467</v>
      </c>
      <c r="I19" s="37">
        <f>($I$18*($D$21-D19)+$I$21*(D19-$D$18))/($D$21-$D$18)</f>
        <v>10.91383152173913</v>
      </c>
      <c r="J19" s="34">
        <f t="shared" si="3"/>
        <v>10.256386975535891</v>
      </c>
      <c r="L19" s="55">
        <v>1844589.2954241093</v>
      </c>
      <c r="M19" s="55">
        <v>0</v>
      </c>
      <c r="N19" s="55">
        <v>0</v>
      </c>
      <c r="O19" s="55">
        <v>0</v>
      </c>
      <c r="P19" s="56">
        <v>1847825.6833133961</v>
      </c>
      <c r="Q19" s="56">
        <v>0</v>
      </c>
      <c r="R19" s="56">
        <v>0</v>
      </c>
      <c r="S19" s="56">
        <v>0</v>
      </c>
    </row>
    <row r="20" spans="2:19" x14ac:dyDescent="0.25">
      <c r="B20" s="35">
        <v>8</v>
      </c>
      <c r="C20" s="36">
        <f t="shared" si="1"/>
        <v>45042</v>
      </c>
      <c r="D20" s="31">
        <v>45044</v>
      </c>
      <c r="E20" s="37">
        <f t="shared" si="2"/>
        <v>1.0041097977330129</v>
      </c>
      <c r="F20" s="37">
        <f>Rates!N16</f>
        <v>-0.61859590389399999</v>
      </c>
      <c r="G20" s="37">
        <f t="shared" si="0"/>
        <v>0.97744532805030315</v>
      </c>
      <c r="H20" s="37">
        <f>($H$18*($D$21-D20)+$H$21*(D20-$D$18))/($D$21-$D$18)</f>
        <v>3.4407915126390516</v>
      </c>
      <c r="I20" s="37">
        <f>($I$18*($D$21-D20)+$I$21*(D20-$D$18))/($D$21-$D$18)</f>
        <v>10.815679347826087</v>
      </c>
      <c r="J20" s="34">
        <f t="shared" si="3"/>
        <v>10.041443447742326</v>
      </c>
      <c r="L20" s="55">
        <v>1805902.5055274013</v>
      </c>
      <c r="M20" s="55">
        <v>0</v>
      </c>
      <c r="N20" s="55">
        <v>0</v>
      </c>
      <c r="O20" s="55">
        <v>0</v>
      </c>
      <c r="P20" s="56">
        <v>1808226.3250009911</v>
      </c>
      <c r="Q20" s="56">
        <v>0</v>
      </c>
      <c r="R20" s="56">
        <v>0</v>
      </c>
      <c r="S20" s="56">
        <v>0</v>
      </c>
    </row>
    <row r="21" spans="2:19" x14ac:dyDescent="0.25">
      <c r="B21" s="35">
        <v>9</v>
      </c>
      <c r="C21" s="36">
        <f t="shared" si="1"/>
        <v>45075</v>
      </c>
      <c r="D21" s="31">
        <v>45077</v>
      </c>
      <c r="E21" s="37">
        <f t="shared" si="2"/>
        <v>1.0044562156363017</v>
      </c>
      <c r="F21" s="37">
        <f>Rates!N17</f>
        <v>-0.59014741045066399</v>
      </c>
      <c r="G21" s="37">
        <f t="shared" si="0"/>
        <v>0.9739147198114454</v>
      </c>
      <c r="H21" s="37">
        <f>Rates!G17</f>
        <v>3.5081856653290102</v>
      </c>
      <c r="I21" s="33">
        <f>Vols!E8</f>
        <v>10.7</v>
      </c>
      <c r="J21" s="34">
        <f t="shared" si="3"/>
        <v>9.8177780285684655</v>
      </c>
      <c r="L21" s="55">
        <v>1763410.8860974517</v>
      </c>
      <c r="M21" s="55">
        <v>0</v>
      </c>
      <c r="N21" s="55">
        <v>0</v>
      </c>
      <c r="O21" s="55">
        <v>0</v>
      </c>
      <c r="P21" s="56">
        <v>1773065.8979268956</v>
      </c>
      <c r="Q21" s="56">
        <v>0</v>
      </c>
      <c r="R21" s="56">
        <v>0</v>
      </c>
      <c r="S21" s="56">
        <v>0</v>
      </c>
    </row>
    <row r="22" spans="2:19" x14ac:dyDescent="0.25">
      <c r="B22" s="35">
        <v>10</v>
      </c>
      <c r="C22" s="36">
        <f t="shared" si="1"/>
        <v>45105</v>
      </c>
      <c r="D22" s="31">
        <v>45107</v>
      </c>
      <c r="E22" s="37">
        <f t="shared" si="2"/>
        <v>1.0049826623301608</v>
      </c>
      <c r="F22" s="37">
        <f>Rates!N18</f>
        <v>-0.59480519067264004</v>
      </c>
      <c r="G22" s="37">
        <f t="shared" si="0"/>
        <v>0.97090773592721891</v>
      </c>
      <c r="H22" s="37">
        <f>($H$21*($D$24-D22)+$H$24*(D22-$D$21))/($D$24-$D$21)</f>
        <v>3.5331802358932789</v>
      </c>
      <c r="I22" s="37">
        <f>($I$21*($D$24-D22)+$I$24*(D22-$D$21))/($D$24-$D$21)</f>
        <v>10.634782608695652</v>
      </c>
      <c r="J22" s="34">
        <f t="shared" si="3"/>
        <v>10.021819767665786</v>
      </c>
      <c r="L22" s="55">
        <v>1726970.8310842104</v>
      </c>
      <c r="M22" s="55">
        <v>0</v>
      </c>
      <c r="N22" s="55">
        <v>0</v>
      </c>
      <c r="O22" s="55">
        <v>0</v>
      </c>
      <c r="P22" s="56">
        <v>1712752.5628165728</v>
      </c>
      <c r="Q22" s="56">
        <v>0</v>
      </c>
      <c r="R22" s="56">
        <v>0</v>
      </c>
      <c r="S22" s="56">
        <v>0</v>
      </c>
    </row>
    <row r="23" spans="2:19" x14ac:dyDescent="0.25">
      <c r="B23" s="35">
        <v>11</v>
      </c>
      <c r="C23" s="36">
        <f t="shared" si="1"/>
        <v>45136</v>
      </c>
      <c r="D23" s="31">
        <v>45138</v>
      </c>
      <c r="E23" s="37">
        <f t="shared" si="2"/>
        <v>1.0055916638110822</v>
      </c>
      <c r="F23" s="37">
        <f>Rates!N19</f>
        <v>-0.60573580358911105</v>
      </c>
      <c r="G23" s="37">
        <f t="shared" si="0"/>
        <v>0.96776849861145853</v>
      </c>
      <c r="H23" s="37">
        <f>($H$21*($D$24-D23)+$H$24*(D23-$D$21))/($D$24-$D$21)</f>
        <v>3.5590079588096897</v>
      </c>
      <c r="I23" s="37">
        <f>($I$21*($D$24-D23)+$I$24*(D23-$D$21))/($D$24-$D$21)</f>
        <v>10.567391304347826</v>
      </c>
      <c r="J23" s="34">
        <f t="shared" si="3"/>
        <v>9.8845323210584528</v>
      </c>
      <c r="L23" s="55">
        <v>1689462.4247925002</v>
      </c>
      <c r="M23" s="55">
        <v>0</v>
      </c>
      <c r="N23" s="55">
        <v>0</v>
      </c>
      <c r="O23" s="55">
        <v>0</v>
      </c>
      <c r="P23" s="56">
        <v>1660514.0719670015</v>
      </c>
      <c r="Q23" s="56">
        <v>0</v>
      </c>
      <c r="R23" s="56">
        <v>0</v>
      </c>
      <c r="S23" s="56">
        <v>0</v>
      </c>
    </row>
    <row r="24" spans="2:19" x14ac:dyDescent="0.25">
      <c r="B24" s="35">
        <v>12</v>
      </c>
      <c r="C24" s="36">
        <f t="shared" si="1"/>
        <v>45167</v>
      </c>
      <c r="D24" s="31">
        <v>45169</v>
      </c>
      <c r="E24" s="37">
        <f t="shared" si="2"/>
        <v>1.0060091893481731</v>
      </c>
      <c r="F24" s="37">
        <f>Rates!N20</f>
        <v>-0.59585565518139205</v>
      </c>
      <c r="G24" s="37">
        <f t="shared" si="0"/>
        <v>0.96459709190667853</v>
      </c>
      <c r="H24" s="37">
        <f>Rates!G20</f>
        <v>3.5848356817261</v>
      </c>
      <c r="I24" s="33">
        <f>Vols!E9</f>
        <v>10.5</v>
      </c>
      <c r="J24" s="34">
        <f t="shared" si="3"/>
        <v>9.7443954130553205</v>
      </c>
      <c r="L24" s="55">
        <v>1654652.4647000562</v>
      </c>
      <c r="M24" s="55">
        <v>0</v>
      </c>
      <c r="N24" s="55">
        <v>0</v>
      </c>
      <c r="O24" s="55">
        <v>0</v>
      </c>
      <c r="P24" s="56">
        <v>1636447.6665534771</v>
      </c>
      <c r="Q24" s="56">
        <v>0</v>
      </c>
      <c r="R24" s="56">
        <v>0</v>
      </c>
      <c r="S24" s="56">
        <v>0</v>
      </c>
    </row>
    <row r="25" spans="2:19" x14ac:dyDescent="0.25">
      <c r="B25" s="35">
        <v>13</v>
      </c>
      <c r="C25" s="36">
        <f t="shared" si="1"/>
        <v>45197</v>
      </c>
      <c r="D25" s="31">
        <v>45199</v>
      </c>
      <c r="E25" s="37">
        <f t="shared" si="2"/>
        <v>1.006522267529451</v>
      </c>
      <c r="F25" s="37">
        <f>(F24*(D36-D25)+F36*(D25-D24))/(D36-D24)</f>
        <v>-0.59770722822426503</v>
      </c>
      <c r="G25" s="37">
        <f t="shared" si="0"/>
        <v>0.96172150854951655</v>
      </c>
      <c r="H25" s="37">
        <f>($H$24*($D$30-D25)+$H$30*(D25-$D$24))/($D$30-$D$24)</f>
        <v>3.5884338207983322</v>
      </c>
      <c r="I25" s="37">
        <f>($I$24*($D$36-D25)+$I$36*(D25-$D$24))/($D$36-$D$24)</f>
        <v>10.454794520547946</v>
      </c>
      <c r="J25" s="34">
        <f t="shared" si="3"/>
        <v>9.8882552293404178</v>
      </c>
      <c r="L25" s="55">
        <v>1623687.0177528784</v>
      </c>
      <c r="M25" s="55">
        <v>0</v>
      </c>
      <c r="N25" s="55">
        <v>0</v>
      </c>
      <c r="O25" s="55">
        <v>0</v>
      </c>
      <c r="P25" s="56">
        <v>1633592.1087863497</v>
      </c>
      <c r="Q25" s="56">
        <v>0</v>
      </c>
      <c r="R25" s="56">
        <v>0</v>
      </c>
      <c r="S25" s="56">
        <v>0</v>
      </c>
    </row>
    <row r="26" spans="2:19" x14ac:dyDescent="0.25">
      <c r="B26" s="35">
        <v>14</v>
      </c>
      <c r="C26" s="36">
        <f t="shared" si="1"/>
        <v>45228</v>
      </c>
      <c r="D26" s="31">
        <v>45230</v>
      </c>
      <c r="E26" s="37">
        <f t="shared" si="2"/>
        <v>1.0070559433376629</v>
      </c>
      <c r="F26" s="37">
        <f t="shared" ref="F26:F35" si="4">($F$24*($D$36-D26)+$F$36*(D26-$D$24))/($D$36-$D$24)</f>
        <v>-0.59962052036856728</v>
      </c>
      <c r="G26" s="37">
        <f t="shared" si="0"/>
        <v>0.9587531204788875</v>
      </c>
      <c r="H26" s="37">
        <f>($H$24*($D$30-D26)+$H$30*(D26-$D$24))/($D$30-$D$24)</f>
        <v>3.5921518978396398</v>
      </c>
      <c r="I26" s="37">
        <f t="shared" ref="I26:I35" si="5">($I$24*($D$36-D26)+$I$36*(D26-$D$24))/($D$36-$D$24)</f>
        <v>10.408082191780821</v>
      </c>
      <c r="J26" s="34">
        <f t="shared" si="3"/>
        <v>9.7933894221844344</v>
      </c>
      <c r="L26" s="55">
        <v>1592609.1177955437</v>
      </c>
      <c r="M26" s="55">
        <v>0</v>
      </c>
      <c r="N26" s="55">
        <v>0</v>
      </c>
      <c r="O26" s="55">
        <v>0</v>
      </c>
      <c r="P26" s="56">
        <v>1589498.9160871592</v>
      </c>
      <c r="Q26" s="56">
        <v>0</v>
      </c>
      <c r="R26" s="56">
        <v>0</v>
      </c>
      <c r="S26" s="56">
        <v>0</v>
      </c>
    </row>
    <row r="27" spans="2:19" x14ac:dyDescent="0.25">
      <c r="B27" s="35">
        <v>15</v>
      </c>
      <c r="C27" s="36">
        <f t="shared" si="1"/>
        <v>45258</v>
      </c>
      <c r="D27" s="31">
        <v>45260</v>
      </c>
      <c r="E27" s="37">
        <f t="shared" si="2"/>
        <v>1.0075757910629102</v>
      </c>
      <c r="F27" s="37">
        <f t="shared" si="4"/>
        <v>-0.60147209341144026</v>
      </c>
      <c r="G27" s="37">
        <f t="shared" si="0"/>
        <v>0.95588346257278256</v>
      </c>
      <c r="H27" s="37">
        <f>($H$24*($D$30-D27)+$H$30*(D27-$D$24))/($D$30-$D$24)</f>
        <v>3.595750036911872</v>
      </c>
      <c r="I27" s="37">
        <f t="shared" si="5"/>
        <v>10.362876712328767</v>
      </c>
      <c r="J27" s="34">
        <f t="shared" si="3"/>
        <v>9.6982454774350462</v>
      </c>
      <c r="L27" s="55">
        <v>1563331.3095390573</v>
      </c>
      <c r="M27" s="55">
        <v>0</v>
      </c>
      <c r="N27" s="55">
        <v>0</v>
      </c>
      <c r="O27" s="55">
        <v>0</v>
      </c>
      <c r="P27" s="56">
        <v>1591487.4958087625</v>
      </c>
      <c r="Q27" s="56">
        <v>0</v>
      </c>
      <c r="R27" s="56">
        <v>0</v>
      </c>
      <c r="S27" s="56">
        <v>0</v>
      </c>
    </row>
    <row r="28" spans="2:19" x14ac:dyDescent="0.25">
      <c r="B28" s="35">
        <v>16</v>
      </c>
      <c r="C28" s="36">
        <f t="shared" si="1"/>
        <v>45289</v>
      </c>
      <c r="D28" s="31">
        <v>45291</v>
      </c>
      <c r="E28" s="37">
        <f t="shared" si="2"/>
        <v>1.0081164724664444</v>
      </c>
      <c r="F28" s="37">
        <f t="shared" si="4"/>
        <v>-0.6033853855557425</v>
      </c>
      <c r="G28" s="37">
        <f t="shared" si="0"/>
        <v>0.95292125129581684</v>
      </c>
      <c r="H28" s="37">
        <f>($H$24*($D$30-D28)+$H$30*(D28-$D$24))/($D$30-$D$24)</f>
        <v>3.5994681139531792</v>
      </c>
      <c r="I28" s="37">
        <f t="shared" si="5"/>
        <v>10.316164383561643</v>
      </c>
      <c r="J28" s="34">
        <f t="shared" si="3"/>
        <v>9.6028223395504515</v>
      </c>
      <c r="L28" s="55">
        <v>1533818.3806791026</v>
      </c>
      <c r="M28" s="55">
        <v>0</v>
      </c>
      <c r="N28" s="55">
        <v>0</v>
      </c>
      <c r="O28" s="55">
        <v>0</v>
      </c>
      <c r="P28" s="56">
        <v>1562000.5036746783</v>
      </c>
      <c r="Q28" s="56">
        <v>0</v>
      </c>
      <c r="R28" s="56">
        <v>0</v>
      </c>
      <c r="S28" s="56">
        <v>0</v>
      </c>
    </row>
    <row r="29" spans="2:19" x14ac:dyDescent="0.25">
      <c r="B29" s="35">
        <v>17</v>
      </c>
      <c r="C29" s="36">
        <f t="shared" si="1"/>
        <v>45320</v>
      </c>
      <c r="D29" s="31">
        <v>45322</v>
      </c>
      <c r="E29" s="37">
        <f t="shared" si="2"/>
        <v>1.0086607221258381</v>
      </c>
      <c r="F29" s="37">
        <f t="shared" si="4"/>
        <v>-0.60529867770004453</v>
      </c>
      <c r="G29" s="37">
        <f t="shared" si="0"/>
        <v>0.94996222005362785</v>
      </c>
      <c r="H29" s="37">
        <f>($H$24*($D$30-D29)+$H$30*(D29-$D$24))/($D$30-$D$24)</f>
        <v>3.6031861909944864</v>
      </c>
      <c r="I29" s="37">
        <f t="shared" si="5"/>
        <v>10.26945205479452</v>
      </c>
      <c r="J29" s="34">
        <f t="shared" si="3"/>
        <v>9.505534544512404</v>
      </c>
      <c r="L29" s="55">
        <v>1504985.4467336088</v>
      </c>
      <c r="M29" s="55">
        <v>0</v>
      </c>
      <c r="N29" s="55">
        <v>0</v>
      </c>
      <c r="O29" s="55">
        <v>0</v>
      </c>
      <c r="P29" s="56">
        <v>1544023.202164795</v>
      </c>
      <c r="Q29" s="56">
        <v>0</v>
      </c>
      <c r="R29" s="56">
        <v>0</v>
      </c>
      <c r="S29" s="56">
        <v>0</v>
      </c>
    </row>
    <row r="30" spans="2:19" x14ac:dyDescent="0.25">
      <c r="B30" s="35">
        <v>18</v>
      </c>
      <c r="C30" s="36">
        <f t="shared" si="1"/>
        <v>45348</v>
      </c>
      <c r="D30" s="31">
        <v>45350</v>
      </c>
      <c r="E30" s="37">
        <f t="shared" si="2"/>
        <v>1.0091553740003352</v>
      </c>
      <c r="F30" s="37">
        <f t="shared" si="4"/>
        <v>-0.60702681254005941</v>
      </c>
      <c r="G30" s="37">
        <f t="shared" si="0"/>
        <v>0.9472923028115936</v>
      </c>
      <c r="H30" s="37">
        <f>Rates!G21</f>
        <v>3.6065444541285698</v>
      </c>
      <c r="I30" s="37">
        <f t="shared" si="5"/>
        <v>10.227260273972602</v>
      </c>
      <c r="J30" s="34">
        <f t="shared" si="3"/>
        <v>9.4126609425757604</v>
      </c>
      <c r="L30" s="55">
        <v>1479474.2329382431</v>
      </c>
      <c r="M30" s="55">
        <v>0</v>
      </c>
      <c r="N30" s="55">
        <v>0</v>
      </c>
      <c r="O30" s="55">
        <v>0</v>
      </c>
      <c r="P30" s="56">
        <v>1516876.2491873025</v>
      </c>
      <c r="Q30" s="56">
        <v>0</v>
      </c>
      <c r="R30" s="56">
        <v>0</v>
      </c>
      <c r="S30" s="56">
        <v>0</v>
      </c>
    </row>
    <row r="31" spans="2:19" x14ac:dyDescent="0.25">
      <c r="B31" s="35">
        <v>19</v>
      </c>
      <c r="C31" s="36">
        <f t="shared" si="1"/>
        <v>45380</v>
      </c>
      <c r="D31" s="31">
        <v>45382</v>
      </c>
      <c r="E31" s="37">
        <f t="shared" si="2"/>
        <v>1.0097242656307148</v>
      </c>
      <c r="F31" s="37">
        <f t="shared" si="4"/>
        <v>-0.6090018237857906</v>
      </c>
      <c r="G31" s="37">
        <f t="shared" si="0"/>
        <v>0.94447638877068751</v>
      </c>
      <c r="H31" s="37">
        <f>($H$30*($D$36-D31)+$H$36*(D31-$D$30))/($D$36-$D$30)</f>
        <v>3.5949096065183994</v>
      </c>
      <c r="I31" s="37">
        <f t="shared" si="5"/>
        <v>10.17904109589041</v>
      </c>
      <c r="J31" s="34">
        <f t="shared" si="3"/>
        <v>9.3179291064888456</v>
      </c>
      <c r="L31" s="55">
        <v>1453465.7257419564</v>
      </c>
      <c r="M31" s="55">
        <v>0</v>
      </c>
      <c r="N31" s="55">
        <v>0</v>
      </c>
      <c r="O31" s="55">
        <v>0</v>
      </c>
      <c r="P31" s="56">
        <v>1492221.0968378042</v>
      </c>
      <c r="Q31" s="56">
        <v>0</v>
      </c>
      <c r="R31" s="56">
        <v>0</v>
      </c>
      <c r="S31" s="56">
        <v>0</v>
      </c>
    </row>
    <row r="32" spans="2:19" x14ac:dyDescent="0.25">
      <c r="B32" s="35">
        <v>20</v>
      </c>
      <c r="C32" s="36">
        <f t="shared" si="1"/>
        <v>45410</v>
      </c>
      <c r="D32" s="31">
        <v>45412</v>
      </c>
      <c r="E32" s="37">
        <f t="shared" si="2"/>
        <v>1.0102610701981749</v>
      </c>
      <c r="F32" s="37">
        <f t="shared" si="4"/>
        <v>-0.61085339682866369</v>
      </c>
      <c r="G32" s="37">
        <f t="shared" si="0"/>
        <v>0.9418615227412751</v>
      </c>
      <c r="H32" s="37">
        <f>($H$30*($D$36-D32)+$H$36*(D32-$D$30))/($D$36-$D$30)</f>
        <v>3.5840019368838649</v>
      </c>
      <c r="I32" s="37">
        <f t="shared" si="5"/>
        <v>10.133835616438356</v>
      </c>
      <c r="J32" s="34">
        <f t="shared" si="3"/>
        <v>9.2197040874591796</v>
      </c>
      <c r="L32" s="55">
        <v>1429752.0665469524</v>
      </c>
      <c r="M32" s="55">
        <v>0</v>
      </c>
      <c r="N32" s="55">
        <v>0</v>
      </c>
      <c r="O32" s="55">
        <v>0</v>
      </c>
      <c r="P32" s="56">
        <v>1475215.4417557241</v>
      </c>
      <c r="Q32" s="56">
        <v>0</v>
      </c>
      <c r="R32" s="56">
        <v>0</v>
      </c>
      <c r="S32" s="56">
        <v>0</v>
      </c>
    </row>
    <row r="33" spans="2:19" x14ac:dyDescent="0.25">
      <c r="B33" s="35">
        <v>21</v>
      </c>
      <c r="C33" s="36">
        <f t="shared" si="1"/>
        <v>45441</v>
      </c>
      <c r="D33" s="31">
        <v>45443</v>
      </c>
      <c r="E33" s="37">
        <f t="shared" si="2"/>
        <v>1.0108193002116208</v>
      </c>
      <c r="F33" s="37">
        <f t="shared" si="4"/>
        <v>-0.61276668897296582</v>
      </c>
      <c r="G33" s="37">
        <f t="shared" si="0"/>
        <v>0.93918479092130402</v>
      </c>
      <c r="H33" s="37">
        <f>($H$30*($D$36-D33)+$H$36*(D33-$D$30))/($D$36-$D$30)</f>
        <v>3.5727306782615122</v>
      </c>
      <c r="I33" s="37">
        <f t="shared" si="5"/>
        <v>10.087123287671233</v>
      </c>
      <c r="J33" s="34">
        <f t="shared" si="3"/>
        <v>9.1227371918339575</v>
      </c>
      <c r="L33" s="55">
        <v>1405877.4245413858</v>
      </c>
      <c r="M33" s="55">
        <v>0</v>
      </c>
      <c r="N33" s="55">
        <v>0</v>
      </c>
      <c r="O33" s="55">
        <v>0</v>
      </c>
      <c r="P33" s="56">
        <v>1463636.8676719482</v>
      </c>
      <c r="Q33" s="56">
        <v>0</v>
      </c>
      <c r="R33" s="56">
        <v>0</v>
      </c>
      <c r="S33" s="56">
        <v>0</v>
      </c>
    </row>
    <row r="34" spans="2:19" x14ac:dyDescent="0.25">
      <c r="B34" s="35">
        <v>22</v>
      </c>
      <c r="C34" s="36">
        <f t="shared" si="1"/>
        <v>45471</v>
      </c>
      <c r="D34" s="31">
        <v>45473</v>
      </c>
      <c r="E34" s="37">
        <f t="shared" si="2"/>
        <v>1.011362946060921</v>
      </c>
      <c r="F34" s="37">
        <f t="shared" si="4"/>
        <v>-0.61461826201583891</v>
      </c>
      <c r="G34" s="37">
        <f t="shared" si="0"/>
        <v>0.93661872224901876</v>
      </c>
      <c r="H34" s="37">
        <f>($H$30*($D$36-D34)+$H$36*(D34-$D$30))/($D$36-$D$30)</f>
        <v>3.5618230086269778</v>
      </c>
      <c r="I34" s="37">
        <f t="shared" si="5"/>
        <v>10.041917808219177</v>
      </c>
      <c r="J34" s="34">
        <f t="shared" si="3"/>
        <v>9.0254267685405107</v>
      </c>
      <c r="L34" s="55">
        <v>1383339.4261562973</v>
      </c>
      <c r="M34" s="55">
        <v>0</v>
      </c>
      <c r="N34" s="55">
        <v>0</v>
      </c>
      <c r="O34" s="55">
        <v>0</v>
      </c>
      <c r="P34" s="56">
        <v>1452109.8625527215</v>
      </c>
      <c r="Q34" s="56">
        <v>0</v>
      </c>
      <c r="R34" s="56">
        <v>0</v>
      </c>
      <c r="S34" s="56">
        <v>0</v>
      </c>
    </row>
    <row r="35" spans="2:19" x14ac:dyDescent="0.25">
      <c r="B35" s="35">
        <v>23</v>
      </c>
      <c r="C35" s="36">
        <f t="shared" si="1"/>
        <v>45502</v>
      </c>
      <c r="D35" s="31">
        <v>45504</v>
      </c>
      <c r="E35" s="37">
        <f t="shared" si="2"/>
        <v>1.011928256302393</v>
      </c>
      <c r="F35" s="37">
        <f t="shared" si="4"/>
        <v>-0.61653155416014105</v>
      </c>
      <c r="G35" s="37">
        <f t="shared" si="0"/>
        <v>0.93399207661712969</v>
      </c>
      <c r="H35" s="37">
        <f>($H$30*($D$36-D35)+$H$36*(D35-$D$30))/($D$36-$D$30)</f>
        <v>3.5505517500046246</v>
      </c>
      <c r="I35" s="37">
        <f t="shared" si="5"/>
        <v>9.9952054794520535</v>
      </c>
      <c r="J35" s="34">
        <f t="shared" si="3"/>
        <v>8.92776934153488</v>
      </c>
      <c r="L35" s="55">
        <v>1360595.9647614565</v>
      </c>
      <c r="M35" s="55">
        <v>0</v>
      </c>
      <c r="N35" s="55">
        <v>0</v>
      </c>
      <c r="O35" s="55">
        <v>0</v>
      </c>
      <c r="P35" s="56">
        <v>1409991.2961256616</v>
      </c>
      <c r="Q35" s="56">
        <v>0</v>
      </c>
      <c r="R35" s="56">
        <v>0</v>
      </c>
      <c r="S35" s="56">
        <v>0</v>
      </c>
    </row>
    <row r="36" spans="2:19" x14ac:dyDescent="0.25">
      <c r="B36" s="35">
        <v>24</v>
      </c>
      <c r="C36" s="36">
        <f t="shared" si="1"/>
        <v>45532</v>
      </c>
      <c r="D36" s="31">
        <v>45534</v>
      </c>
      <c r="E36" s="37">
        <f t="shared" si="2"/>
        <v>1.0124787646070696</v>
      </c>
      <c r="F36" s="37">
        <f>Rates!N22</f>
        <v>-0.61838312720301403</v>
      </c>
      <c r="G36" s="37">
        <f t="shared" si="0"/>
        <v>0.93147415517639509</v>
      </c>
      <c r="H36" s="37">
        <f>Rates!G22</f>
        <v>3.5396440803700902</v>
      </c>
      <c r="I36" s="33">
        <f>Vols!E10</f>
        <v>9.9499999999999993</v>
      </c>
      <c r="J36" s="34">
        <f t="shared" si="3"/>
        <v>8.8297455540389755</v>
      </c>
      <c r="L36" s="55">
        <v>1339080.6202694364</v>
      </c>
      <c r="M36" s="55">
        <v>0</v>
      </c>
      <c r="N36" s="55">
        <v>0</v>
      </c>
      <c r="O36" s="55">
        <v>0</v>
      </c>
      <c r="P36" s="56">
        <v>1385706.5870160039</v>
      </c>
      <c r="Q36" s="56">
        <v>0</v>
      </c>
      <c r="R36" s="56">
        <v>0</v>
      </c>
      <c r="S36" s="56">
        <v>0</v>
      </c>
    </row>
    <row r="37" spans="2:19" x14ac:dyDescent="0.25">
      <c r="B37" s="35">
        <v>25</v>
      </c>
      <c r="C37" s="36">
        <f t="shared" si="1"/>
        <v>45563</v>
      </c>
      <c r="D37" s="31">
        <v>45565</v>
      </c>
      <c r="E37" s="37">
        <f t="shared" si="2"/>
        <v>1.0130889319554226</v>
      </c>
      <c r="F37" s="37">
        <f>($F$36*($D$48-D37)+$F$48*(D37-$D$36))/($D$48-$D$36)</f>
        <v>-0.6220792153048329</v>
      </c>
      <c r="G37" s="37">
        <f t="shared" si="0"/>
        <v>0.92902090012669658</v>
      </c>
      <c r="H37" s="37">
        <f t="shared" ref="H37:H47" si="6">($H$36*($D$48-D37)+$H$48*(D37-$D$36))/($D$48-$D$36)</f>
        <v>3.5219889497061185</v>
      </c>
      <c r="I37" s="37">
        <f>($I$36*($D$72-D37)+$I$72*(D37-$D$36))/($D$72-$D$36)</f>
        <v>9.933453467153285</v>
      </c>
      <c r="J37" s="34">
        <f t="shared" si="3"/>
        <v>9.5355139477839135</v>
      </c>
      <c r="L37" s="55">
        <v>1890891.1326473374</v>
      </c>
      <c r="M37" s="55">
        <v>0</v>
      </c>
      <c r="N37" s="55">
        <v>0</v>
      </c>
      <c r="O37" s="55">
        <v>-251728.59175155067</v>
      </c>
      <c r="P37" s="56">
        <v>1951637.1547669703</v>
      </c>
      <c r="Q37" s="56">
        <v>0</v>
      </c>
      <c r="R37" s="56">
        <v>0</v>
      </c>
      <c r="S37" s="56">
        <v>-211545.84071145728</v>
      </c>
    </row>
    <row r="38" spans="2:19" x14ac:dyDescent="0.25">
      <c r="B38" s="35">
        <v>26</v>
      </c>
      <c r="C38" s="36">
        <f t="shared" si="1"/>
        <v>45594</v>
      </c>
      <c r="D38" s="31">
        <v>45596</v>
      </c>
      <c r="E38" s="37">
        <f t="shared" si="2"/>
        <v>1.0137058313351308</v>
      </c>
      <c r="F38" s="37">
        <f t="shared" ref="F38:F47" si="7">($F$36*($D$48-D38)+$F$48*(D38-$D$36))/($D$48-$D$36)</f>
        <v>-0.62577530340665177</v>
      </c>
      <c r="G38" s="37">
        <f t="shared" si="0"/>
        <v>0.92660189424309469</v>
      </c>
      <c r="H38" s="37">
        <f t="shared" si="6"/>
        <v>3.5043338190421465</v>
      </c>
      <c r="I38" s="37">
        <f t="shared" ref="I38:I70" si="8">($I$36*($D$72-D38)+$I$72*(D38-$D$36))/($D$72-$D$36)</f>
        <v>9.9169069343065672</v>
      </c>
      <c r="J38" s="34">
        <f t="shared" si="3"/>
        <v>9.5016846657515952</v>
      </c>
      <c r="L38" s="55">
        <v>1864195.4588873349</v>
      </c>
      <c r="M38" s="55">
        <v>0</v>
      </c>
      <c r="N38" s="55">
        <v>0</v>
      </c>
      <c r="O38" s="55">
        <v>-283047.05571633554</v>
      </c>
      <c r="P38" s="56">
        <v>1934436.1813676809</v>
      </c>
      <c r="Q38" s="56">
        <v>0</v>
      </c>
      <c r="R38" s="56">
        <v>0</v>
      </c>
      <c r="S38" s="56">
        <v>-243799.77510795061</v>
      </c>
    </row>
    <row r="39" spans="2:19" x14ac:dyDescent="0.25">
      <c r="B39" s="35">
        <v>27</v>
      </c>
      <c r="C39" s="36">
        <f t="shared" si="1"/>
        <v>45624</v>
      </c>
      <c r="D39" s="31">
        <v>45626</v>
      </c>
      <c r="E39" s="37">
        <f t="shared" si="2"/>
        <v>1.0143092516837868</v>
      </c>
      <c r="F39" s="37">
        <f t="shared" si="7"/>
        <v>-0.62935216286002482</v>
      </c>
      <c r="G39" s="37">
        <f t="shared" si="0"/>
        <v>0.92429331006690052</v>
      </c>
      <c r="H39" s="37">
        <f t="shared" si="6"/>
        <v>3.4872482087221734</v>
      </c>
      <c r="I39" s="37">
        <f t="shared" si="8"/>
        <v>9.90089416058394</v>
      </c>
      <c r="J39" s="34">
        <f t="shared" si="3"/>
        <v>9.468367489346555</v>
      </c>
      <c r="L39" s="55">
        <v>1839125.303724587</v>
      </c>
      <c r="M39" s="55">
        <v>0</v>
      </c>
      <c r="N39" s="55">
        <v>0</v>
      </c>
      <c r="O39" s="55">
        <v>-314665.63864664617</v>
      </c>
      <c r="P39" s="56">
        <v>1909871.3358876507</v>
      </c>
      <c r="Q39" s="56">
        <v>0</v>
      </c>
      <c r="R39" s="56">
        <v>0</v>
      </c>
      <c r="S39" s="56">
        <v>-271894.22956524027</v>
      </c>
    </row>
    <row r="40" spans="2:19" x14ac:dyDescent="0.25">
      <c r="B40" s="35">
        <v>28</v>
      </c>
      <c r="C40" s="36">
        <f t="shared" si="1"/>
        <v>45655</v>
      </c>
      <c r="D40" s="31">
        <v>45657</v>
      </c>
      <c r="E40" s="37">
        <f t="shared" si="2"/>
        <v>1.014939432684665</v>
      </c>
      <c r="F40" s="37">
        <f t="shared" si="7"/>
        <v>-0.63304825096184369</v>
      </c>
      <c r="G40" s="37">
        <f t="shared" si="0"/>
        <v>0.92194101766400238</v>
      </c>
      <c r="H40" s="37">
        <f t="shared" si="6"/>
        <v>3.4695930780582014</v>
      </c>
      <c r="I40" s="37">
        <f t="shared" si="8"/>
        <v>9.8843476277372257</v>
      </c>
      <c r="J40" s="34">
        <f t="shared" si="3"/>
        <v>9.4350173922112592</v>
      </c>
      <c r="L40" s="55">
        <v>1813977.0498796105</v>
      </c>
      <c r="M40" s="55">
        <v>0</v>
      </c>
      <c r="N40" s="55">
        <v>0</v>
      </c>
      <c r="O40" s="55">
        <v>-348595.34600049048</v>
      </c>
      <c r="P40" s="56">
        <v>1892209.5648141336</v>
      </c>
      <c r="Q40" s="56">
        <v>0</v>
      </c>
      <c r="R40" s="56">
        <v>0</v>
      </c>
      <c r="S40" s="56">
        <v>-312414.0348348635</v>
      </c>
    </row>
    <row r="41" spans="2:19" x14ac:dyDescent="0.25">
      <c r="B41" s="35">
        <v>29</v>
      </c>
      <c r="C41" s="36">
        <f t="shared" si="1"/>
        <v>45686</v>
      </c>
      <c r="D41" s="31">
        <v>45688</v>
      </c>
      <c r="E41" s="37">
        <f t="shared" si="2"/>
        <v>1.0155763812708074</v>
      </c>
      <c r="F41" s="37">
        <f t="shared" si="7"/>
        <v>-0.63674433906366257</v>
      </c>
      <c r="G41" s="37">
        <f t="shared" si="0"/>
        <v>0.91962229039174281</v>
      </c>
      <c r="H41" s="37">
        <f t="shared" si="6"/>
        <v>3.4519379473942298</v>
      </c>
      <c r="I41" s="37">
        <f t="shared" si="8"/>
        <v>9.8678010948905115</v>
      </c>
      <c r="J41" s="34">
        <f t="shared" si="3"/>
        <v>9.4010857680715887</v>
      </c>
      <c r="L41" s="55">
        <v>1789567.6569420937</v>
      </c>
      <c r="M41" s="55">
        <v>0</v>
      </c>
      <c r="N41" s="55">
        <v>0</v>
      </c>
      <c r="O41" s="55">
        <v>-383707.70117667364</v>
      </c>
      <c r="P41" s="56">
        <v>1878869.641538528</v>
      </c>
      <c r="Q41" s="56">
        <v>0</v>
      </c>
      <c r="R41" s="56">
        <v>0</v>
      </c>
      <c r="S41" s="56">
        <v>-373216.69680327893</v>
      </c>
    </row>
    <row r="42" spans="2:19" x14ac:dyDescent="0.25">
      <c r="B42" s="35">
        <v>30</v>
      </c>
      <c r="C42" s="36">
        <f t="shared" si="1"/>
        <v>45714</v>
      </c>
      <c r="D42" s="31">
        <v>45716</v>
      </c>
      <c r="E42" s="37">
        <f t="shared" si="2"/>
        <v>1.0161575167398444</v>
      </c>
      <c r="F42" s="37">
        <f t="shared" si="7"/>
        <v>-0.64008274122014397</v>
      </c>
      <c r="G42" s="37">
        <f t="shared" si="0"/>
        <v>0.91755662019877549</v>
      </c>
      <c r="H42" s="37">
        <f t="shared" si="6"/>
        <v>3.4359913777622548</v>
      </c>
      <c r="I42" s="37">
        <f t="shared" si="8"/>
        <v>9.8528558394160584</v>
      </c>
      <c r="J42" s="34">
        <f t="shared" si="3"/>
        <v>9.368762616639561</v>
      </c>
      <c r="L42" s="55">
        <v>1768130.6775072925</v>
      </c>
      <c r="M42" s="55">
        <v>0</v>
      </c>
      <c r="N42" s="55">
        <v>0</v>
      </c>
      <c r="O42" s="55">
        <v>-416361.74323875085</v>
      </c>
      <c r="P42" s="56">
        <v>1865866.1443292582</v>
      </c>
      <c r="Q42" s="56">
        <v>0</v>
      </c>
      <c r="R42" s="56">
        <v>0</v>
      </c>
      <c r="S42" s="56">
        <v>-399799.87881823885</v>
      </c>
    </row>
    <row r="43" spans="2:19" x14ac:dyDescent="0.25">
      <c r="B43" s="35">
        <v>31</v>
      </c>
      <c r="C43" s="36">
        <f t="shared" si="1"/>
        <v>45745</v>
      </c>
      <c r="D43" s="31">
        <v>45747</v>
      </c>
      <c r="E43" s="37">
        <f t="shared" si="2"/>
        <v>1.0168073795185457</v>
      </c>
      <c r="F43" s="37">
        <f t="shared" si="7"/>
        <v>-0.64377882932196284</v>
      </c>
      <c r="G43" s="37">
        <f t="shared" si="0"/>
        <v>0.91530116092909819</v>
      </c>
      <c r="H43" s="37">
        <f t="shared" si="6"/>
        <v>3.4183362470982832</v>
      </c>
      <c r="I43" s="37">
        <f t="shared" si="8"/>
        <v>9.8363093065693423</v>
      </c>
      <c r="J43" s="34">
        <f t="shared" si="3"/>
        <v>9.3364085776004462</v>
      </c>
      <c r="L43" s="55">
        <v>1745046.3749999758</v>
      </c>
      <c r="M43" s="55">
        <v>0</v>
      </c>
      <c r="N43" s="55">
        <v>0</v>
      </c>
      <c r="O43" s="55">
        <v>-453473.44821624365</v>
      </c>
      <c r="P43" s="56">
        <v>1827929.6458622799</v>
      </c>
      <c r="Q43" s="56">
        <v>0</v>
      </c>
      <c r="R43" s="56">
        <v>0</v>
      </c>
      <c r="S43" s="56">
        <v>-420985.82169706566</v>
      </c>
    </row>
    <row r="44" spans="2:19" x14ac:dyDescent="0.25">
      <c r="B44" s="35">
        <v>32</v>
      </c>
      <c r="C44" s="36">
        <f t="shared" si="1"/>
        <v>45775</v>
      </c>
      <c r="D44" s="31">
        <v>45777</v>
      </c>
      <c r="E44" s="37">
        <f t="shared" si="2"/>
        <v>1.0174427567074316</v>
      </c>
      <c r="F44" s="37">
        <f t="shared" si="7"/>
        <v>-0.64735568877533589</v>
      </c>
      <c r="G44" s="37">
        <f t="shared" ref="G44:G75" si="9">EXP(-H44/100*(D44-$C$12)/365)</f>
        <v>0.91314981108305182</v>
      </c>
      <c r="H44" s="37">
        <f t="shared" si="6"/>
        <v>3.4012506367783106</v>
      </c>
      <c r="I44" s="37">
        <f t="shared" si="8"/>
        <v>9.8202965328467133</v>
      </c>
      <c r="J44" s="34">
        <f t="shared" si="3"/>
        <v>9.3029226140194936</v>
      </c>
      <c r="L44" s="55">
        <v>1723332.0826876368</v>
      </c>
      <c r="M44" s="55">
        <v>0</v>
      </c>
      <c r="N44" s="55">
        <v>0</v>
      </c>
      <c r="O44" s="55">
        <v>-490270.92316565569</v>
      </c>
      <c r="P44" s="56">
        <v>1804478.2792553357</v>
      </c>
      <c r="Q44" s="56">
        <v>0</v>
      </c>
      <c r="R44" s="56">
        <v>0</v>
      </c>
      <c r="S44" s="56">
        <v>-462271.59771448059</v>
      </c>
    </row>
    <row r="45" spans="2:19" x14ac:dyDescent="0.25">
      <c r="B45" s="35">
        <v>33</v>
      </c>
      <c r="C45" s="36">
        <f t="shared" si="1"/>
        <v>45806</v>
      </c>
      <c r="D45" s="31">
        <v>45808</v>
      </c>
      <c r="E45" s="37">
        <f t="shared" si="2"/>
        <v>1.0181060190879319</v>
      </c>
      <c r="F45" s="37">
        <f t="shared" si="7"/>
        <v>-0.65105177687715476</v>
      </c>
      <c r="G45" s="37">
        <f t="shared" si="9"/>
        <v>0.91095893987681231</v>
      </c>
      <c r="H45" s="37">
        <f t="shared" si="6"/>
        <v>3.3835955061143386</v>
      </c>
      <c r="I45" s="37">
        <f t="shared" si="8"/>
        <v>9.8037499999999991</v>
      </c>
      <c r="J45" s="34">
        <f t="shared" si="3"/>
        <v>9.2694019251007536</v>
      </c>
      <c r="L45" s="55">
        <v>1701515.3610574137</v>
      </c>
      <c r="M45" s="55">
        <v>0</v>
      </c>
      <c r="N45" s="55">
        <v>0</v>
      </c>
      <c r="O45" s="55">
        <v>-529129.64776550885</v>
      </c>
      <c r="P45" s="56">
        <v>1778242.6766348511</v>
      </c>
      <c r="Q45" s="56">
        <v>0</v>
      </c>
      <c r="R45" s="56">
        <v>0</v>
      </c>
      <c r="S45" s="56">
        <v>-507247.84481127321</v>
      </c>
    </row>
    <row r="46" spans="2:19" x14ac:dyDescent="0.25">
      <c r="B46" s="35">
        <v>34</v>
      </c>
      <c r="C46" s="36">
        <f t="shared" si="1"/>
        <v>45836</v>
      </c>
      <c r="D46" s="31">
        <v>45838</v>
      </c>
      <c r="E46" s="37">
        <f t="shared" si="2"/>
        <v>1.018754387439873</v>
      </c>
      <c r="F46" s="37">
        <f t="shared" si="7"/>
        <v>-0.65462863633052781</v>
      </c>
      <c r="G46" s="37">
        <f t="shared" si="9"/>
        <v>0.90886969842039422</v>
      </c>
      <c r="H46" s="37">
        <f t="shared" si="6"/>
        <v>3.3665098957943655</v>
      </c>
      <c r="I46" s="37">
        <f t="shared" si="8"/>
        <v>9.7877372262773736</v>
      </c>
      <c r="J46" s="34">
        <f t="shared" si="3"/>
        <v>9.2358451919107303</v>
      </c>
      <c r="L46" s="55">
        <v>1680981.223007841</v>
      </c>
      <c r="M46" s="55">
        <v>0</v>
      </c>
      <c r="N46" s="55">
        <v>0</v>
      </c>
      <c r="O46" s="55">
        <v>-567472.26939667761</v>
      </c>
      <c r="P46" s="56">
        <v>1768512.6731752667</v>
      </c>
      <c r="Q46" s="56">
        <v>0</v>
      </c>
      <c r="R46" s="56">
        <v>0</v>
      </c>
      <c r="S46" s="56">
        <v>-525373.84214314376</v>
      </c>
    </row>
    <row r="47" spans="2:19" x14ac:dyDescent="0.25">
      <c r="B47" s="35">
        <v>35</v>
      </c>
      <c r="C47" s="36">
        <f t="shared" si="1"/>
        <v>45867</v>
      </c>
      <c r="D47" s="31">
        <v>45869</v>
      </c>
      <c r="E47" s="37">
        <f t="shared" si="2"/>
        <v>1.019431098884257</v>
      </c>
      <c r="F47" s="37">
        <f t="shared" si="7"/>
        <v>-0.65832472443234669</v>
      </c>
      <c r="G47" s="37">
        <f t="shared" si="9"/>
        <v>0.90674260307429966</v>
      </c>
      <c r="H47" s="37">
        <f t="shared" si="6"/>
        <v>3.348854765130393</v>
      </c>
      <c r="I47" s="37">
        <f t="shared" si="8"/>
        <v>9.7711906934306576</v>
      </c>
      <c r="J47" s="34">
        <f t="shared" si="3"/>
        <v>9.202252964404769</v>
      </c>
      <c r="L47" s="55">
        <v>1660338.4261398381</v>
      </c>
      <c r="M47" s="55">
        <v>0</v>
      </c>
      <c r="N47" s="55">
        <v>0</v>
      </c>
      <c r="O47" s="55">
        <v>-607785.60846776608</v>
      </c>
      <c r="P47" s="56">
        <v>1754565.2623740975</v>
      </c>
      <c r="Q47" s="56">
        <v>0</v>
      </c>
      <c r="R47" s="56">
        <v>0</v>
      </c>
      <c r="S47" s="56">
        <v>-588065.86974472983</v>
      </c>
    </row>
    <row r="48" spans="2:19" x14ac:dyDescent="0.25">
      <c r="B48" s="35">
        <v>36</v>
      </c>
      <c r="C48" s="36">
        <f t="shared" si="1"/>
        <v>45896</v>
      </c>
      <c r="D48" s="31">
        <v>45898</v>
      </c>
      <c r="E48" s="37">
        <f t="shared" si="2"/>
        <v>1.0200703562984204</v>
      </c>
      <c r="F48" s="37">
        <f>Rates!N23</f>
        <v>-0.66178235523727402</v>
      </c>
      <c r="G48" s="37">
        <f t="shared" si="9"/>
        <v>0.90478181096634136</v>
      </c>
      <c r="H48" s="37">
        <f>Rates!G23</f>
        <v>3.3323386751544199</v>
      </c>
      <c r="I48" s="37">
        <f t="shared" si="8"/>
        <v>9.7557116788321174</v>
      </c>
      <c r="J48" s="34">
        <f t="shared" si="3"/>
        <v>9.1691752630334591</v>
      </c>
      <c r="L48" s="55">
        <v>1641538.2130512409</v>
      </c>
      <c r="M48" s="55">
        <v>0</v>
      </c>
      <c r="N48" s="55">
        <v>0</v>
      </c>
      <c r="O48" s="55">
        <v>-646076.56164875999</v>
      </c>
      <c r="P48" s="56">
        <v>1737992.3914377037</v>
      </c>
      <c r="Q48" s="56">
        <v>0</v>
      </c>
      <c r="R48" s="56">
        <v>0</v>
      </c>
      <c r="S48" s="56">
        <v>-620140.6656866807</v>
      </c>
    </row>
    <row r="49" spans="2:19" x14ac:dyDescent="0.25">
      <c r="B49" s="35">
        <v>37</v>
      </c>
      <c r="C49" s="36">
        <f t="shared" si="1"/>
        <v>45928</v>
      </c>
      <c r="D49" s="31">
        <v>45930</v>
      </c>
      <c r="E49" s="37">
        <f t="shared" si="2"/>
        <v>1.0205686002992234</v>
      </c>
      <c r="F49" s="37">
        <f>($F$48*($D$60-D49)+$F$60*(D49-$D$48))/($D$60-$D$48)</f>
        <v>-0.6588095733036623</v>
      </c>
      <c r="G49" s="37">
        <f t="shared" si="9"/>
        <v>0.90251639763887859</v>
      </c>
      <c r="H49" s="37">
        <f t="shared" ref="H49:H59" si="10">($H$48*($D$60-D49)+$H$60*(D49-$D$48))/($D$60-$D$48)</f>
        <v>3.3189249318342493</v>
      </c>
      <c r="I49" s="37">
        <f t="shared" si="8"/>
        <v>9.7386313868613126</v>
      </c>
      <c r="J49" s="34">
        <f t="shared" si="3"/>
        <v>9.1355109962545278</v>
      </c>
      <c r="L49" s="55">
        <v>1621591.657325156</v>
      </c>
      <c r="M49" s="55">
        <v>0</v>
      </c>
      <c r="N49" s="55">
        <v>0</v>
      </c>
      <c r="O49" s="55">
        <v>-688345.31190148368</v>
      </c>
      <c r="P49" s="56">
        <v>1727890.4043850231</v>
      </c>
      <c r="Q49" s="56">
        <v>0</v>
      </c>
      <c r="R49" s="56">
        <v>0</v>
      </c>
      <c r="S49" s="56">
        <v>-668957.5852420649</v>
      </c>
    </row>
    <row r="50" spans="2:19" x14ac:dyDescent="0.25">
      <c r="B50" s="35">
        <v>38</v>
      </c>
      <c r="C50" s="36">
        <f t="shared" si="1"/>
        <v>45959</v>
      </c>
      <c r="D50" s="31">
        <v>45961</v>
      </c>
      <c r="E50" s="37">
        <f t="shared" si="2"/>
        <v>1.0210464308623499</v>
      </c>
      <c r="F50" s="37">
        <f t="shared" ref="F50:F59" si="11">($F$48*($D$60-D50)+$F$60*(D50-$D$48))/($D$60-$D$48)</f>
        <v>-0.65592969080547592</v>
      </c>
      <c r="G50" s="37">
        <f t="shared" si="9"/>
        <v>0.90034738133899128</v>
      </c>
      <c r="H50" s="37">
        <f t="shared" si="10"/>
        <v>3.305930367992834</v>
      </c>
      <c r="I50" s="37">
        <f t="shared" si="8"/>
        <v>9.7220848540145983</v>
      </c>
      <c r="J50" s="34">
        <f t="shared" si="3"/>
        <v>9.1007029872478977</v>
      </c>
      <c r="L50" s="55">
        <v>1602808.8313757172</v>
      </c>
      <c r="M50" s="55">
        <v>0</v>
      </c>
      <c r="N50" s="55">
        <v>0</v>
      </c>
      <c r="O50" s="55">
        <v>-729741.82612268021</v>
      </c>
      <c r="P50" s="56">
        <v>1715790.5877798307</v>
      </c>
      <c r="Q50" s="56">
        <v>0</v>
      </c>
      <c r="R50" s="56">
        <v>0</v>
      </c>
      <c r="S50" s="56">
        <v>-689290.2833385074</v>
      </c>
    </row>
    <row r="51" spans="2:19" x14ac:dyDescent="0.25">
      <c r="B51" s="35">
        <v>39</v>
      </c>
      <c r="C51" s="36">
        <f t="shared" si="1"/>
        <v>45989</v>
      </c>
      <c r="D51" s="31">
        <v>45991</v>
      </c>
      <c r="E51" s="37">
        <f t="shared" si="2"/>
        <v>1.0215043026775765</v>
      </c>
      <c r="F51" s="37">
        <f t="shared" si="11"/>
        <v>-0.65314270774271488</v>
      </c>
      <c r="G51" s="37">
        <f t="shared" si="9"/>
        <v>0.89827217495418743</v>
      </c>
      <c r="H51" s="37">
        <f t="shared" si="10"/>
        <v>3.2933549836301736</v>
      </c>
      <c r="I51" s="37">
        <f t="shared" si="8"/>
        <v>9.7060720802919711</v>
      </c>
      <c r="J51" s="34">
        <f t="shared" si="3"/>
        <v>9.0669617901231288</v>
      </c>
      <c r="L51" s="55">
        <v>1585120.2764301263</v>
      </c>
      <c r="M51" s="55">
        <v>0</v>
      </c>
      <c r="N51" s="55">
        <v>0</v>
      </c>
      <c r="O51" s="55">
        <v>-770167.73217828292</v>
      </c>
      <c r="P51" s="56">
        <v>1693891.5220245083</v>
      </c>
      <c r="Q51" s="56">
        <v>0</v>
      </c>
      <c r="R51" s="56">
        <v>0</v>
      </c>
      <c r="S51" s="56">
        <v>-713223.19367600535</v>
      </c>
    </row>
    <row r="52" spans="2:19" x14ac:dyDescent="0.25">
      <c r="B52" s="35">
        <v>40</v>
      </c>
      <c r="C52" s="36">
        <f t="shared" si="1"/>
        <v>46020</v>
      </c>
      <c r="D52" s="31">
        <v>46022</v>
      </c>
      <c r="E52" s="37">
        <f t="shared" si="2"/>
        <v>1.0219727338733726</v>
      </c>
      <c r="F52" s="37">
        <f t="shared" si="11"/>
        <v>-0.65026282524452839</v>
      </c>
      <c r="G52" s="37">
        <f t="shared" si="9"/>
        <v>0.89615228131779434</v>
      </c>
      <c r="H52" s="37">
        <f t="shared" si="10"/>
        <v>3.2803604197887579</v>
      </c>
      <c r="I52" s="37">
        <f t="shared" si="8"/>
        <v>9.6895255474452551</v>
      </c>
      <c r="J52" s="34">
        <f t="shared" si="3"/>
        <v>9.0331830600892005</v>
      </c>
      <c r="L52" s="55">
        <v>1567329.3014672576</v>
      </c>
      <c r="M52" s="55">
        <v>0</v>
      </c>
      <c r="N52" s="55">
        <v>0</v>
      </c>
      <c r="O52" s="55">
        <v>-812264.74371136213</v>
      </c>
      <c r="P52" s="56">
        <v>1673061.4911546437</v>
      </c>
      <c r="Q52" s="56">
        <v>0</v>
      </c>
      <c r="R52" s="56">
        <v>0</v>
      </c>
      <c r="S52" s="56">
        <v>-754465.12570895057</v>
      </c>
    </row>
    <row r="53" spans="2:19" x14ac:dyDescent="0.25">
      <c r="B53" s="35">
        <v>41</v>
      </c>
      <c r="C53" s="36">
        <f t="shared" si="1"/>
        <v>46051</v>
      </c>
      <c r="D53" s="31">
        <v>46053</v>
      </c>
      <c r="E53" s="37">
        <f t="shared" si="2"/>
        <v>1.0224363782546977</v>
      </c>
      <c r="F53" s="37">
        <f t="shared" si="11"/>
        <v>-0.647382942746342</v>
      </c>
      <c r="G53" s="37">
        <f t="shared" si="9"/>
        <v>0.89405712483001232</v>
      </c>
      <c r="H53" s="37">
        <f t="shared" si="10"/>
        <v>3.2673658559473422</v>
      </c>
      <c r="I53" s="37">
        <f t="shared" si="8"/>
        <v>9.672979014598539</v>
      </c>
      <c r="J53" s="34">
        <f t="shared" si="3"/>
        <v>8.998810943902285</v>
      </c>
      <c r="L53" s="55">
        <v>1550016.6598582268</v>
      </c>
      <c r="M53" s="55">
        <v>0</v>
      </c>
      <c r="N53" s="55">
        <v>0</v>
      </c>
      <c r="O53" s="55">
        <v>-854639.78007033467</v>
      </c>
      <c r="P53" s="56">
        <v>1662813.4559166825</v>
      </c>
      <c r="Q53" s="56">
        <v>0</v>
      </c>
      <c r="R53" s="56">
        <v>0</v>
      </c>
      <c r="S53" s="56">
        <v>-785005.22896289395</v>
      </c>
    </row>
    <row r="54" spans="2:19" x14ac:dyDescent="0.25">
      <c r="B54" s="35">
        <v>42</v>
      </c>
      <c r="C54" s="36">
        <f t="shared" si="1"/>
        <v>46079</v>
      </c>
      <c r="D54" s="31">
        <v>46081</v>
      </c>
      <c r="E54" s="37">
        <f t="shared" si="2"/>
        <v>1.022851033874042</v>
      </c>
      <c r="F54" s="37">
        <f t="shared" si="11"/>
        <v>-0.64478175855443176</v>
      </c>
      <c r="G54" s="37">
        <f t="shared" si="9"/>
        <v>0.89218586253685495</v>
      </c>
      <c r="H54" s="37">
        <f t="shared" si="10"/>
        <v>3.255628830542193</v>
      </c>
      <c r="I54" s="37">
        <f t="shared" si="8"/>
        <v>9.6580337591240859</v>
      </c>
      <c r="J54" s="34">
        <f t="shared" si="3"/>
        <v>8.966063999299843</v>
      </c>
      <c r="L54" s="55">
        <v>1534777.0886223577</v>
      </c>
      <c r="M54" s="55">
        <v>0</v>
      </c>
      <c r="N54" s="55">
        <v>0</v>
      </c>
      <c r="O54" s="55">
        <v>-893112.82171713887</v>
      </c>
      <c r="P54" s="56">
        <v>1635321.9872969685</v>
      </c>
      <c r="Q54" s="56">
        <v>0</v>
      </c>
      <c r="R54" s="56">
        <v>0</v>
      </c>
      <c r="S54" s="56">
        <v>-842392.6991403955</v>
      </c>
    </row>
    <row r="55" spans="2:19" x14ac:dyDescent="0.25">
      <c r="B55" s="35">
        <v>43</v>
      </c>
      <c r="C55" s="36">
        <f t="shared" si="1"/>
        <v>46110</v>
      </c>
      <c r="D55" s="31">
        <v>46112</v>
      </c>
      <c r="E55" s="37">
        <f t="shared" si="2"/>
        <v>1.0233055493877063</v>
      </c>
      <c r="F55" s="37">
        <f t="shared" si="11"/>
        <v>-0.64190187605624538</v>
      </c>
      <c r="G55" s="37">
        <f t="shared" si="9"/>
        <v>0.89013737305362051</v>
      </c>
      <c r="H55" s="37">
        <f t="shared" si="10"/>
        <v>3.2426342667007768</v>
      </c>
      <c r="I55" s="37">
        <f t="shared" si="8"/>
        <v>9.6414872262773716</v>
      </c>
      <c r="J55" s="34">
        <f t="shared" si="3"/>
        <v>8.9332816863473088</v>
      </c>
      <c r="L55" s="55">
        <v>1518330.7564515872</v>
      </c>
      <c r="M55" s="55">
        <v>0</v>
      </c>
      <c r="N55" s="55">
        <v>0</v>
      </c>
      <c r="O55" s="55">
        <v>-935886.38021964999</v>
      </c>
      <c r="P55" s="56">
        <v>1626416.1912356252</v>
      </c>
      <c r="Q55" s="56">
        <v>0</v>
      </c>
      <c r="R55" s="56">
        <v>0</v>
      </c>
      <c r="S55" s="56">
        <v>-893219.54354740004</v>
      </c>
    </row>
    <row r="56" spans="2:19" x14ac:dyDescent="0.25">
      <c r="B56" s="35">
        <v>44</v>
      </c>
      <c r="C56" s="36">
        <f t="shared" si="1"/>
        <v>46140</v>
      </c>
      <c r="D56" s="31">
        <v>46142</v>
      </c>
      <c r="E56" s="37">
        <f t="shared" si="2"/>
        <v>1.0237408271247965</v>
      </c>
      <c r="F56" s="37">
        <f t="shared" si="11"/>
        <v>-0.63911489299348434</v>
      </c>
      <c r="G56" s="37">
        <f t="shared" si="9"/>
        <v>0.88817810835901934</v>
      </c>
      <c r="H56" s="37">
        <f t="shared" si="10"/>
        <v>3.2300588823381169</v>
      </c>
      <c r="I56" s="37">
        <f t="shared" si="8"/>
        <v>9.6254744525547444</v>
      </c>
      <c r="J56" s="34">
        <f t="shared" si="3"/>
        <v>8.8993480400357878</v>
      </c>
      <c r="L56" s="55">
        <v>1502827.8407719294</v>
      </c>
      <c r="M56" s="55">
        <v>0</v>
      </c>
      <c r="N56" s="55">
        <v>0</v>
      </c>
      <c r="O56" s="55">
        <v>-977419.91148102516</v>
      </c>
      <c r="P56" s="56">
        <v>1626959.0519163145</v>
      </c>
      <c r="Q56" s="56">
        <v>0</v>
      </c>
      <c r="R56" s="56">
        <v>0</v>
      </c>
      <c r="S56" s="56">
        <v>-927540.58884094993</v>
      </c>
    </row>
    <row r="57" spans="2:19" x14ac:dyDescent="0.25">
      <c r="B57" s="35">
        <v>45</v>
      </c>
      <c r="C57" s="36">
        <f t="shared" si="1"/>
        <v>46171</v>
      </c>
      <c r="D57" s="31">
        <v>46173</v>
      </c>
      <c r="E57" s="37">
        <f t="shared" si="2"/>
        <v>1.0241858792610947</v>
      </c>
      <c r="F57" s="37">
        <f t="shared" si="11"/>
        <v>-0.63623501049529785</v>
      </c>
      <c r="G57" s="37">
        <f t="shared" si="9"/>
        <v>0.88617731010464085</v>
      </c>
      <c r="H57" s="37">
        <f t="shared" si="10"/>
        <v>3.2170643184967016</v>
      </c>
      <c r="I57" s="37">
        <f t="shared" si="8"/>
        <v>9.6089279197080302</v>
      </c>
      <c r="J57" s="34">
        <f t="shared" si="3"/>
        <v>8.8653746812997536</v>
      </c>
      <c r="L57" s="55">
        <v>1487221.1763769751</v>
      </c>
      <c r="M57" s="55">
        <v>0</v>
      </c>
      <c r="N57" s="55">
        <v>0</v>
      </c>
      <c r="O57" s="55">
        <v>-1020443.4815719831</v>
      </c>
      <c r="P57" s="56">
        <v>1609003.3897778867</v>
      </c>
      <c r="Q57" s="56">
        <v>0</v>
      </c>
      <c r="R57" s="56">
        <v>0</v>
      </c>
      <c r="S57" s="56">
        <v>-924140.83434066095</v>
      </c>
    </row>
    <row r="58" spans="2:19" x14ac:dyDescent="0.25">
      <c r="B58" s="35">
        <v>46</v>
      </c>
      <c r="C58" s="36">
        <f t="shared" si="1"/>
        <v>46201</v>
      </c>
      <c r="D58" s="31">
        <v>46203</v>
      </c>
      <c r="E58" s="37">
        <f t="shared" si="2"/>
        <v>1.0246119867488732</v>
      </c>
      <c r="F58" s="37">
        <f t="shared" si="11"/>
        <v>-0.63344802743253681</v>
      </c>
      <c r="G58" s="37">
        <f t="shared" si="9"/>
        <v>0.88426392913069907</v>
      </c>
      <c r="H58" s="37">
        <f t="shared" si="10"/>
        <v>3.2044889341340417</v>
      </c>
      <c r="I58" s="37">
        <f t="shared" si="8"/>
        <v>9.5929151459854012</v>
      </c>
      <c r="J58" s="34">
        <f>((I58^2*(C58-$C$12)-I57^2*(C57-$C$12))/(C58-C57))^0.5</f>
        <v>8.8313601679029023</v>
      </c>
      <c r="L58" s="55">
        <v>1472505.2043494573</v>
      </c>
      <c r="M58" s="55">
        <v>0</v>
      </c>
      <c r="N58" s="55">
        <v>0</v>
      </c>
      <c r="O58" s="55">
        <v>-1062146.5251172031</v>
      </c>
      <c r="P58" s="56">
        <v>1587201.3580443931</v>
      </c>
      <c r="Q58" s="56">
        <v>0</v>
      </c>
      <c r="R58" s="56">
        <v>0</v>
      </c>
      <c r="S58" s="56">
        <v>-1001992.2938053943</v>
      </c>
    </row>
    <row r="59" spans="2:19" x14ac:dyDescent="0.25">
      <c r="B59" s="35">
        <v>47</v>
      </c>
      <c r="C59" s="36">
        <f t="shared" si="1"/>
        <v>46232</v>
      </c>
      <c r="D59" s="31">
        <v>46234</v>
      </c>
      <c r="E59" s="37">
        <f t="shared" si="2"/>
        <v>1.0250475505439429</v>
      </c>
      <c r="F59" s="37">
        <f t="shared" si="11"/>
        <v>-0.63056814493435043</v>
      </c>
      <c r="G59" s="37">
        <f t="shared" si="9"/>
        <v>0.88231026967557935</v>
      </c>
      <c r="H59" s="37">
        <f t="shared" si="10"/>
        <v>3.1914943702926264</v>
      </c>
      <c r="I59" s="37">
        <f t="shared" si="8"/>
        <v>9.5763686131386869</v>
      </c>
      <c r="J59" s="34">
        <f t="shared" si="3"/>
        <v>8.7973050102117973</v>
      </c>
      <c r="L59" s="55">
        <v>1457686.467196675</v>
      </c>
      <c r="M59" s="55">
        <v>0</v>
      </c>
      <c r="N59" s="55">
        <v>0</v>
      </c>
      <c r="O59" s="55">
        <v>-1105275.1112521724</v>
      </c>
      <c r="P59" s="56">
        <v>1574542.5988246987</v>
      </c>
      <c r="Q59" s="56">
        <v>0</v>
      </c>
      <c r="R59" s="56">
        <v>0</v>
      </c>
      <c r="S59" s="56">
        <v>-1055900.4163106745</v>
      </c>
    </row>
    <row r="60" spans="2:19" x14ac:dyDescent="0.25">
      <c r="B60" s="35">
        <v>48</v>
      </c>
      <c r="C60" s="36">
        <f t="shared" si="1"/>
        <v>46263</v>
      </c>
      <c r="D60" s="31">
        <v>46265</v>
      </c>
      <c r="E60" s="37">
        <f t="shared" si="2"/>
        <v>1.0254782829941653</v>
      </c>
      <c r="F60" s="37">
        <f>Rates!N24</f>
        <v>-0.62768826243616405</v>
      </c>
      <c r="G60" s="37">
        <f t="shared" si="9"/>
        <v>0.88038035894616262</v>
      </c>
      <c r="H60" s="37">
        <f>Rates!G24</f>
        <v>3.1784998064512102</v>
      </c>
      <c r="I60" s="37">
        <f t="shared" si="8"/>
        <v>9.5598220802919709</v>
      </c>
      <c r="J60" s="34">
        <f t="shared" si="3"/>
        <v>8.7626486737340397</v>
      </c>
      <c r="L60" s="55">
        <v>1443249.8413115172</v>
      </c>
      <c r="M60" s="55">
        <v>0</v>
      </c>
      <c r="N60" s="55">
        <v>0</v>
      </c>
      <c r="O60" s="55">
        <v>-1148407.2094564191</v>
      </c>
      <c r="P60" s="56">
        <v>1565278.7538079009</v>
      </c>
      <c r="Q60" s="56">
        <v>0</v>
      </c>
      <c r="R60" s="56">
        <v>0</v>
      </c>
      <c r="S60" s="56">
        <v>-1096444.0495677702</v>
      </c>
    </row>
    <row r="61" spans="2:19" x14ac:dyDescent="0.25">
      <c r="B61" s="35">
        <v>49</v>
      </c>
      <c r="C61" s="36">
        <f t="shared" si="1"/>
        <v>46293</v>
      </c>
      <c r="D61" s="31">
        <v>46295</v>
      </c>
      <c r="E61" s="37">
        <f t="shared" si="2"/>
        <v>1.0264705185087715</v>
      </c>
      <c r="F61" s="37">
        <f>($F$60*($D$72-D61)+$F$72*(D61-$D$60))/($D$72-$D$60)</f>
        <v>-0.63871911468768305</v>
      </c>
      <c r="G61" s="37">
        <f t="shared" si="9"/>
        <v>0.87842718978902434</v>
      </c>
      <c r="H61" s="37">
        <f t="shared" ref="H61:H71" si="12">($H$60*($D$72-D61)+$H$72*(D61-$D$60))/($D$72-$D$60)</f>
        <v>3.1689298762673146</v>
      </c>
      <c r="I61" s="37">
        <f t="shared" si="8"/>
        <v>9.5438093065693419</v>
      </c>
      <c r="J61" s="34">
        <f t="shared" si="3"/>
        <v>8.7285086074842049</v>
      </c>
      <c r="L61" s="55">
        <v>1424647.5521281883</v>
      </c>
      <c r="M61" s="55">
        <v>0</v>
      </c>
      <c r="N61" s="55">
        <v>0</v>
      </c>
      <c r="O61" s="55">
        <v>-1197182.8084487403</v>
      </c>
      <c r="P61" s="56">
        <v>1536500.5673078273</v>
      </c>
      <c r="Q61" s="56">
        <v>0</v>
      </c>
      <c r="R61" s="56">
        <v>0</v>
      </c>
      <c r="S61" s="56">
        <v>-1156130.6464753544</v>
      </c>
    </row>
    <row r="62" spans="2:19" x14ac:dyDescent="0.25">
      <c r="B62" s="35">
        <v>50</v>
      </c>
      <c r="C62" s="36">
        <f t="shared" si="1"/>
        <v>46324</v>
      </c>
      <c r="D62" s="31">
        <v>46326</v>
      </c>
      <c r="E62" s="37">
        <f t="shared" si="2"/>
        <v>1.0275164107766011</v>
      </c>
      <c r="F62" s="37">
        <f t="shared" ref="F62:F71" si="13">($F$60*($D$72-D62)+$F$72*(D62-$D$60))/($D$72-$D$60)</f>
        <v>-0.65011766201425258</v>
      </c>
      <c r="G62" s="37">
        <f t="shared" si="9"/>
        <v>0.87642795149835551</v>
      </c>
      <c r="H62" s="37">
        <f t="shared" si="12"/>
        <v>3.1590409484106221</v>
      </c>
      <c r="I62" s="37">
        <f t="shared" si="8"/>
        <v>9.5272627737226276</v>
      </c>
      <c r="J62" s="34">
        <f t="shared" si="3"/>
        <v>8.694326431336723</v>
      </c>
      <c r="L62" s="55">
        <v>1405684.3504423769</v>
      </c>
      <c r="M62" s="55">
        <v>0</v>
      </c>
      <c r="N62" s="55">
        <v>0</v>
      </c>
      <c r="O62" s="55">
        <v>-1248139.4156531119</v>
      </c>
      <c r="P62" s="56">
        <v>1514319.2134564738</v>
      </c>
      <c r="Q62" s="56">
        <v>0</v>
      </c>
      <c r="R62" s="56">
        <v>0</v>
      </c>
      <c r="S62" s="56">
        <v>-1207819.4769249859</v>
      </c>
    </row>
    <row r="63" spans="2:19" x14ac:dyDescent="0.25">
      <c r="B63" s="35">
        <v>51</v>
      </c>
      <c r="C63" s="36">
        <f t="shared" si="1"/>
        <v>46354</v>
      </c>
      <c r="D63" s="31">
        <v>46356</v>
      </c>
      <c r="E63" s="37">
        <f t="shared" si="2"/>
        <v>1.0285485404878072</v>
      </c>
      <c r="F63" s="37">
        <f t="shared" si="13"/>
        <v>-0.6611485142657717</v>
      </c>
      <c r="G63" s="37">
        <f t="shared" si="9"/>
        <v>0.87451152365670537</v>
      </c>
      <c r="H63" s="37">
        <f t="shared" si="12"/>
        <v>3.1494710182267265</v>
      </c>
      <c r="I63" s="37">
        <f t="shared" si="8"/>
        <v>9.5112500000000004</v>
      </c>
      <c r="J63" s="34">
        <f t="shared" si="3"/>
        <v>8.6601006432723988</v>
      </c>
      <c r="L63" s="55">
        <v>1387577.5480783619</v>
      </c>
      <c r="M63" s="55">
        <v>0</v>
      </c>
      <c r="N63" s="55">
        <v>0</v>
      </c>
      <c r="O63" s="55">
        <v>-1297973.0598098752</v>
      </c>
      <c r="P63" s="56">
        <v>1487685.6444170182</v>
      </c>
      <c r="Q63" s="56">
        <v>0</v>
      </c>
      <c r="R63" s="56">
        <v>0</v>
      </c>
      <c r="S63" s="56">
        <v>-1261006.2022957222</v>
      </c>
    </row>
    <row r="64" spans="2:19" x14ac:dyDescent="0.25">
      <c r="B64" s="35">
        <v>52</v>
      </c>
      <c r="C64" s="36">
        <f t="shared" si="1"/>
        <v>46385</v>
      </c>
      <c r="D64" s="31">
        <v>46387</v>
      </c>
      <c r="E64" s="37">
        <f t="shared" si="2"/>
        <v>1.0296357777034948</v>
      </c>
      <c r="F64" s="37">
        <f t="shared" si="13"/>
        <v>-0.67254706159234123</v>
      </c>
      <c r="G64" s="37">
        <f t="shared" si="9"/>
        <v>0.87255003741693782</v>
      </c>
      <c r="H64" s="37">
        <f t="shared" si="12"/>
        <v>3.1395820903700349</v>
      </c>
      <c r="I64" s="37">
        <f t="shared" si="8"/>
        <v>9.4947034671532844</v>
      </c>
      <c r="J64" s="34">
        <f t="shared" si="3"/>
        <v>8.6258317315289759</v>
      </c>
      <c r="L64" s="55">
        <v>1369113.922982011</v>
      </c>
      <c r="M64" s="55">
        <v>0</v>
      </c>
      <c r="N64" s="55">
        <v>0</v>
      </c>
      <c r="O64" s="55">
        <v>-1349989.9834311865</v>
      </c>
      <c r="P64" s="56">
        <v>1489920.1478909857</v>
      </c>
      <c r="Q64" s="56">
        <v>0</v>
      </c>
      <c r="R64" s="56">
        <v>0</v>
      </c>
      <c r="S64" s="56">
        <v>-1336474.771206114</v>
      </c>
    </row>
    <row r="65" spans="2:19" x14ac:dyDescent="0.25">
      <c r="B65" s="35">
        <v>53</v>
      </c>
      <c r="C65" s="36">
        <f t="shared" si="1"/>
        <v>46416</v>
      </c>
      <c r="D65" s="31">
        <v>46418</v>
      </c>
      <c r="E65" s="37">
        <f t="shared" si="2"/>
        <v>1.0307441211817272</v>
      </c>
      <c r="F65" s="37">
        <f t="shared" si="13"/>
        <v>-0.68394560891891076</v>
      </c>
      <c r="G65" s="37">
        <f t="shared" si="9"/>
        <v>0.87060757471597394</v>
      </c>
      <c r="H65" s="37">
        <f t="shared" si="12"/>
        <v>3.1296931625133424</v>
      </c>
      <c r="I65" s="37">
        <f t="shared" si="8"/>
        <v>9.4781569343065684</v>
      </c>
      <c r="J65" s="34">
        <f t="shared" si="3"/>
        <v>8.590955537503957</v>
      </c>
      <c r="L65" s="55">
        <v>1350895.1597344289</v>
      </c>
      <c r="M65" s="55">
        <v>0</v>
      </c>
      <c r="N65" s="55">
        <v>0</v>
      </c>
      <c r="O65" s="55">
        <v>-1402522.4994167732</v>
      </c>
      <c r="P65" s="56">
        <v>1466140.1220208351</v>
      </c>
      <c r="Q65" s="56">
        <v>0</v>
      </c>
      <c r="R65" s="56">
        <v>0</v>
      </c>
      <c r="S65" s="56">
        <v>-1348796.311111545</v>
      </c>
    </row>
    <row r="66" spans="2:19" x14ac:dyDescent="0.25">
      <c r="B66" s="35">
        <v>54</v>
      </c>
      <c r="C66" s="36">
        <f t="shared" si="1"/>
        <v>46444</v>
      </c>
      <c r="D66" s="31">
        <v>46446</v>
      </c>
      <c r="E66" s="37">
        <f t="shared" si="2"/>
        <v>1.0317634014881305</v>
      </c>
      <c r="F66" s="37">
        <f t="shared" si="13"/>
        <v>-0.6942410710203285</v>
      </c>
      <c r="G66" s="37">
        <f t="shared" si="9"/>
        <v>0.8688693539423461</v>
      </c>
      <c r="H66" s="37">
        <f t="shared" si="12"/>
        <v>3.1207612276750396</v>
      </c>
      <c r="I66" s="37">
        <f t="shared" si="8"/>
        <v>9.463211678832117</v>
      </c>
      <c r="J66" s="34">
        <f t="shared" si="3"/>
        <v>8.5577233052930239</v>
      </c>
      <c r="L66" s="55">
        <v>1334645.2060415875</v>
      </c>
      <c r="M66" s="55">
        <v>0</v>
      </c>
      <c r="N66" s="55">
        <v>0</v>
      </c>
      <c r="O66" s="55">
        <v>-1450402.5438634548</v>
      </c>
      <c r="P66" s="56">
        <v>1453428.5044736667</v>
      </c>
      <c r="Q66" s="56">
        <v>0</v>
      </c>
      <c r="R66" s="56">
        <v>0</v>
      </c>
      <c r="S66" s="56">
        <v>-1386636.3409121679</v>
      </c>
    </row>
    <row r="67" spans="2:19" x14ac:dyDescent="0.25">
      <c r="B67" s="35">
        <v>55</v>
      </c>
      <c r="C67" s="36">
        <f t="shared" si="1"/>
        <v>46475</v>
      </c>
      <c r="D67" s="31">
        <v>46477</v>
      </c>
      <c r="E67" s="37">
        <f t="shared" si="2"/>
        <v>1.0329120974414754</v>
      </c>
      <c r="F67" s="37">
        <f t="shared" si="13"/>
        <v>-0.70563961834689815</v>
      </c>
      <c r="G67" s="37">
        <f t="shared" si="9"/>
        <v>0.8669628012286319</v>
      </c>
      <c r="H67" s="37">
        <f t="shared" si="12"/>
        <v>3.110872299818348</v>
      </c>
      <c r="I67" s="37">
        <f t="shared" si="8"/>
        <v>9.446665145985401</v>
      </c>
      <c r="J67" s="34">
        <f t="shared" si="3"/>
        <v>8.5244502523728478</v>
      </c>
      <c r="L67" s="55">
        <v>1316876.8871928882</v>
      </c>
      <c r="M67" s="55">
        <v>0</v>
      </c>
      <c r="N67" s="55">
        <v>0</v>
      </c>
      <c r="O67" s="55">
        <v>-1503877.9332740419</v>
      </c>
      <c r="P67" s="56">
        <v>1430094.2030006971</v>
      </c>
      <c r="Q67" s="56">
        <v>0</v>
      </c>
      <c r="R67" s="56">
        <v>0</v>
      </c>
      <c r="S67" s="56">
        <v>-1440293.2994906229</v>
      </c>
    </row>
    <row r="68" spans="2:19" x14ac:dyDescent="0.25">
      <c r="B68" s="35">
        <v>56</v>
      </c>
      <c r="C68" s="36">
        <f t="shared" si="1"/>
        <v>46505</v>
      </c>
      <c r="D68" s="31">
        <v>46507</v>
      </c>
      <c r="E68" s="37">
        <f t="shared" si="2"/>
        <v>1.0340440188898299</v>
      </c>
      <c r="F68" s="37">
        <f t="shared" si="13"/>
        <v>-0.71667047059841715</v>
      </c>
      <c r="G68" s="37">
        <f t="shared" si="9"/>
        <v>0.86513557009562847</v>
      </c>
      <c r="H68" s="37">
        <f t="shared" si="12"/>
        <v>3.1013023696344519</v>
      </c>
      <c r="I68" s="37">
        <f t="shared" si="8"/>
        <v>9.4306523722627738</v>
      </c>
      <c r="J68" s="34">
        <f t="shared" si="3"/>
        <v>8.4900032844961935</v>
      </c>
      <c r="L68" s="55">
        <v>1299899.7862430653</v>
      </c>
      <c r="M68" s="55">
        <v>0</v>
      </c>
      <c r="N68" s="55">
        <v>0</v>
      </c>
      <c r="O68" s="55">
        <v>-1556082.6866331436</v>
      </c>
      <c r="P68" s="56">
        <v>1419792.3646776609</v>
      </c>
      <c r="Q68" s="56">
        <v>0</v>
      </c>
      <c r="R68" s="56">
        <v>0</v>
      </c>
      <c r="S68" s="56">
        <v>-1487264.5896871481</v>
      </c>
    </row>
    <row r="69" spans="2:19" x14ac:dyDescent="0.25">
      <c r="B69" s="35">
        <v>57</v>
      </c>
      <c r="C69" s="36">
        <f t="shared" si="1"/>
        <v>46536</v>
      </c>
      <c r="D69" s="31">
        <v>46538</v>
      </c>
      <c r="E69" s="37">
        <f t="shared" si="2"/>
        <v>1.0352346948474778</v>
      </c>
      <c r="F69" s="37">
        <f t="shared" si="13"/>
        <v>-0.72806901792498691</v>
      </c>
      <c r="G69" s="37">
        <f t="shared" si="9"/>
        <v>0.86326574379109777</v>
      </c>
      <c r="H69" s="37">
        <f t="shared" si="12"/>
        <v>3.0914134417777599</v>
      </c>
      <c r="I69" s="37">
        <f t="shared" si="8"/>
        <v>9.4141058394160595</v>
      </c>
      <c r="J69" s="34">
        <f t="shared" si="3"/>
        <v>8.4555105279583813</v>
      </c>
      <c r="L69" s="55">
        <v>1282577.2075128797</v>
      </c>
      <c r="M69" s="55">
        <v>0</v>
      </c>
      <c r="N69" s="55">
        <v>0</v>
      </c>
      <c r="O69" s="55">
        <v>-1610485.9868558152</v>
      </c>
      <c r="P69" s="56">
        <v>1403082.377820746</v>
      </c>
      <c r="Q69" s="56">
        <v>0</v>
      </c>
      <c r="R69" s="56">
        <v>0</v>
      </c>
      <c r="S69" s="56">
        <v>-1550046.5773859059</v>
      </c>
    </row>
    <row r="70" spans="2:19" x14ac:dyDescent="0.25">
      <c r="B70" s="35">
        <v>58</v>
      </c>
      <c r="C70" s="36">
        <f t="shared" si="1"/>
        <v>46566</v>
      </c>
      <c r="D70" s="31">
        <v>46568</v>
      </c>
      <c r="E70" s="37">
        <f t="shared" si="2"/>
        <v>1.0364073734150738</v>
      </c>
      <c r="F70" s="37">
        <f t="shared" si="13"/>
        <v>-0.7390998701765058</v>
      </c>
      <c r="G70" s="37">
        <f t="shared" si="9"/>
        <v>0.86147386032790974</v>
      </c>
      <c r="H70" s="37">
        <f t="shared" si="12"/>
        <v>3.0818435115938647</v>
      </c>
      <c r="I70" s="37">
        <f t="shared" si="8"/>
        <v>9.3980930656934305</v>
      </c>
      <c r="J70" s="34">
        <f t="shared" si="3"/>
        <v>8.4209703882225799</v>
      </c>
      <c r="L70" s="55">
        <v>1266022.2530789059</v>
      </c>
      <c r="M70" s="55">
        <v>0</v>
      </c>
      <c r="N70" s="55">
        <v>0</v>
      </c>
      <c r="O70" s="55">
        <v>-1663568.0623105001</v>
      </c>
      <c r="P70" s="56">
        <v>1377947.1864604943</v>
      </c>
      <c r="Q70" s="56">
        <v>0</v>
      </c>
      <c r="R70" s="56">
        <v>0</v>
      </c>
      <c r="S70" s="56">
        <v>-1634515.0299576318</v>
      </c>
    </row>
    <row r="71" spans="2:19" x14ac:dyDescent="0.25">
      <c r="B71" s="35">
        <v>59</v>
      </c>
      <c r="C71" s="36">
        <f t="shared" si="1"/>
        <v>46597</v>
      </c>
      <c r="D71" s="31">
        <v>46599</v>
      </c>
      <c r="E71" s="37">
        <f t="shared" si="2"/>
        <v>1.0376403032851209</v>
      </c>
      <c r="F71" s="37">
        <f t="shared" si="13"/>
        <v>-0.75049841750307544</v>
      </c>
      <c r="G71" s="37">
        <f t="shared" si="9"/>
        <v>0.85964036168339897</v>
      </c>
      <c r="H71" s="37">
        <f t="shared" si="12"/>
        <v>3.0719545837371722</v>
      </c>
      <c r="I71" s="37">
        <f>($I$36*($D$72-D71)+$I$72*(D71-$D$36))/($D$72-$D$36)</f>
        <v>9.3815465328467162</v>
      </c>
      <c r="J71" s="34">
        <f t="shared" si="3"/>
        <v>8.3863833159661763</v>
      </c>
      <c r="L71" s="55">
        <v>1249126.7687681019</v>
      </c>
      <c r="M71" s="55">
        <v>0</v>
      </c>
      <c r="N71" s="55">
        <v>0</v>
      </c>
      <c r="O71" s="55">
        <v>-1718858.1567545924</v>
      </c>
      <c r="P71" s="56">
        <v>1369612.0067462991</v>
      </c>
      <c r="Q71" s="56">
        <v>0</v>
      </c>
      <c r="R71" s="56">
        <v>0</v>
      </c>
      <c r="S71" s="56">
        <v>-1673901.30707524</v>
      </c>
    </row>
    <row r="72" spans="2:19" x14ac:dyDescent="0.25">
      <c r="B72" s="35">
        <v>60</v>
      </c>
      <c r="C72" s="36">
        <f t="shared" si="1"/>
        <v>46628</v>
      </c>
      <c r="D72" s="31">
        <v>46630</v>
      </c>
      <c r="E72" s="37">
        <f t="shared" si="2"/>
        <v>1.0388948146713379</v>
      </c>
      <c r="F72" s="37">
        <f>Rates!N25</f>
        <v>-0.76189696482964497</v>
      </c>
      <c r="G72" s="37">
        <f t="shared" si="9"/>
        <v>0.85782517463438779</v>
      </c>
      <c r="H72" s="37">
        <f>Rates!G25</f>
        <v>3.0620656558804802</v>
      </c>
      <c r="I72" s="33">
        <f>Vols!E11</f>
        <v>9.3650000000000002</v>
      </c>
      <c r="J72" s="34">
        <f t="shared" si="3"/>
        <v>8.3511797513053594</v>
      </c>
      <c r="L72" s="55">
        <v>1232441.6734936358</v>
      </c>
      <c r="M72" s="55">
        <v>0</v>
      </c>
      <c r="N72" s="55">
        <v>0</v>
      </c>
      <c r="O72" s="55">
        <v>-1774585.0731438994</v>
      </c>
      <c r="P72" s="56">
        <v>1347138.8513476339</v>
      </c>
      <c r="Q72" s="56">
        <v>0</v>
      </c>
      <c r="R72" s="56">
        <v>0</v>
      </c>
      <c r="S72" s="56">
        <v>-1713591.0971827139</v>
      </c>
    </row>
    <row r="73" spans="2:19" x14ac:dyDescent="0.25">
      <c r="B73" s="35">
        <v>61</v>
      </c>
      <c r="C73" s="36">
        <f t="shared" si="1"/>
        <v>46658</v>
      </c>
      <c r="D73" s="31">
        <v>46660</v>
      </c>
      <c r="E73" s="37">
        <f t="shared" si="2"/>
        <v>1.0390624858403652</v>
      </c>
      <c r="F73" s="37">
        <f>($F$72*($D$96-D73)+$F$96*(D73-$D$72))/($D$96-$D$72)</f>
        <v>-0.75276536578627018</v>
      </c>
      <c r="G73" s="37">
        <f t="shared" si="9"/>
        <v>0.85595264697481954</v>
      </c>
      <c r="H73" s="37">
        <f t="shared" ref="H73:H83" si="14">($H$72*($D$84-D73)+$H$84*(D73-$D$72))/($D$84-$D$72)</f>
        <v>3.0555533645692203</v>
      </c>
      <c r="I73" s="37">
        <f>($I$72*($D$96-D73)+$I$96*(D73-$D$72))/($D$96-$D$72)</f>
        <v>9.3662311901504793</v>
      </c>
      <c r="J73" s="34">
        <f t="shared" si="3"/>
        <v>9.4408673309840996</v>
      </c>
      <c r="L73" s="55">
        <v>1223348.1408757977</v>
      </c>
      <c r="M73" s="55">
        <v>0</v>
      </c>
      <c r="N73" s="55">
        <v>0</v>
      </c>
      <c r="O73" s="55">
        <v>-1821638.3934738878</v>
      </c>
      <c r="P73" s="56">
        <v>1344445.5506893503</v>
      </c>
      <c r="Q73" s="56">
        <v>0</v>
      </c>
      <c r="R73" s="56">
        <v>0</v>
      </c>
      <c r="S73" s="56">
        <v>-1797209.7734035323</v>
      </c>
    </row>
    <row r="74" spans="2:19" x14ac:dyDescent="0.25">
      <c r="B74" s="35">
        <v>62</v>
      </c>
      <c r="C74" s="36">
        <f t="shared" si="1"/>
        <v>46689</v>
      </c>
      <c r="D74" s="31">
        <v>46691</v>
      </c>
      <c r="E74" s="37">
        <f t="shared" si="2"/>
        <v>1.0392193861397652</v>
      </c>
      <c r="F74" s="37">
        <f t="shared" ref="F74:F95" si="15">($F$72*($D$96-D74)+$F$96*(D74-$D$72))/($D$96-$D$72)</f>
        <v>-0.74332938010811611</v>
      </c>
      <c r="G74" s="37">
        <f t="shared" si="9"/>
        <v>0.85403160044371862</v>
      </c>
      <c r="H74" s="37">
        <f t="shared" si="14"/>
        <v>3.0488239968809183</v>
      </c>
      <c r="I74" s="37">
        <f t="shared" ref="I74:I95" si="16">($I$72*($D$96-D74)+$I$96*(D74-$D$72))/($D$96-$D$72)</f>
        <v>9.3675034199726408</v>
      </c>
      <c r="J74" s="34">
        <f t="shared" si="3"/>
        <v>9.4433607348769311</v>
      </c>
      <c r="L74" s="55">
        <v>1214243.231190769</v>
      </c>
      <c r="M74" s="55">
        <v>0</v>
      </c>
      <c r="N74" s="55">
        <v>0</v>
      </c>
      <c r="O74" s="55">
        <v>-1869989.7655733572</v>
      </c>
      <c r="P74" s="56">
        <v>1322467.3694215082</v>
      </c>
      <c r="Q74" s="56">
        <v>0</v>
      </c>
      <c r="R74" s="56">
        <v>0</v>
      </c>
      <c r="S74" s="56">
        <v>-1844460.6732957212</v>
      </c>
    </row>
    <row r="75" spans="2:19" x14ac:dyDescent="0.25">
      <c r="B75" s="35">
        <v>63</v>
      </c>
      <c r="C75" s="36">
        <f t="shared" si="1"/>
        <v>46719</v>
      </c>
      <c r="D75" s="31">
        <v>46721</v>
      </c>
      <c r="E75" s="37">
        <f t="shared" si="2"/>
        <v>1.0393553859440641</v>
      </c>
      <c r="F75" s="37">
        <f t="shared" si="15"/>
        <v>-0.73419778106474132</v>
      </c>
      <c r="G75" s="37">
        <f t="shared" si="9"/>
        <v>0.85218590311659903</v>
      </c>
      <c r="H75" s="37">
        <f t="shared" si="14"/>
        <v>3.0423117055696589</v>
      </c>
      <c r="I75" s="37">
        <f t="shared" si="16"/>
        <v>9.3687346101231199</v>
      </c>
      <c r="J75" s="34">
        <f t="shared" si="3"/>
        <v>9.445853975479741</v>
      </c>
      <c r="L75" s="55">
        <v>1205706.7621172229</v>
      </c>
      <c r="M75" s="55">
        <v>0</v>
      </c>
      <c r="N75" s="55">
        <v>0</v>
      </c>
      <c r="O75" s="55">
        <v>-1916501.8391392427</v>
      </c>
      <c r="P75" s="56">
        <v>1326629.6184197026</v>
      </c>
      <c r="Q75" s="56">
        <v>0</v>
      </c>
      <c r="R75" s="56">
        <v>0</v>
      </c>
      <c r="S75" s="56">
        <v>-1875008.188598403</v>
      </c>
    </row>
    <row r="76" spans="2:19" x14ac:dyDescent="0.25">
      <c r="B76" s="35">
        <v>64</v>
      </c>
      <c r="C76" s="36">
        <f t="shared" si="1"/>
        <v>46750</v>
      </c>
      <c r="D76" s="31">
        <v>46752</v>
      </c>
      <c r="E76" s="37">
        <f t="shared" si="2"/>
        <v>1.0394795453324155</v>
      </c>
      <c r="F76" s="37">
        <f t="shared" si="15"/>
        <v>-0.72476179538658747</v>
      </c>
      <c r="G76" s="37">
        <f t="shared" ref="G76:G107" si="17">EXP(-H76/100*(D76-$C$12)/365)</f>
        <v>0.85029243557103962</v>
      </c>
      <c r="H76" s="37">
        <f t="shared" si="14"/>
        <v>3.0355823378813569</v>
      </c>
      <c r="I76" s="37">
        <f t="shared" si="16"/>
        <v>9.3700068399452814</v>
      </c>
      <c r="J76" s="34">
        <f t="shared" si="3"/>
        <v>9.4483470583586833</v>
      </c>
      <c r="L76" s="55">
        <v>1197162.0152501473</v>
      </c>
      <c r="M76" s="55">
        <v>0</v>
      </c>
      <c r="N76" s="55">
        <v>0</v>
      </c>
      <c r="O76" s="55">
        <v>-1964257.8419799376</v>
      </c>
      <c r="P76" s="56">
        <v>1313795.5226206682</v>
      </c>
      <c r="Q76" s="56">
        <v>0</v>
      </c>
      <c r="R76" s="56">
        <v>0</v>
      </c>
      <c r="S76" s="56">
        <v>-1940808.2922261178</v>
      </c>
    </row>
    <row r="77" spans="2:19" x14ac:dyDescent="0.25">
      <c r="B77" s="35">
        <v>65</v>
      </c>
      <c r="C77" s="36">
        <f t="shared" ref="C77:C126" si="18">D77-2</f>
        <v>46781</v>
      </c>
      <c r="D77" s="31">
        <v>46783</v>
      </c>
      <c r="E77" s="37">
        <f t="shared" si="2"/>
        <v>1.0395870566581977</v>
      </c>
      <c r="F77" s="37">
        <f t="shared" si="15"/>
        <v>-0.7153258097084334</v>
      </c>
      <c r="G77" s="37">
        <f t="shared" si="17"/>
        <v>0.84841287301477175</v>
      </c>
      <c r="H77" s="37">
        <f t="shared" si="14"/>
        <v>3.0288529701930549</v>
      </c>
      <c r="I77" s="37">
        <f t="shared" si="16"/>
        <v>9.3712790697674428</v>
      </c>
      <c r="J77" s="34">
        <f t="shared" si="3"/>
        <v>9.4508808457877382</v>
      </c>
      <c r="L77" s="55">
        <v>1188890.6312205158</v>
      </c>
      <c r="M77" s="55">
        <v>0</v>
      </c>
      <c r="N77" s="55">
        <v>0</v>
      </c>
      <c r="O77" s="55">
        <v>-2011685.5733218258</v>
      </c>
      <c r="P77" s="56">
        <v>1319261.8458601763</v>
      </c>
      <c r="Q77" s="56">
        <v>0</v>
      </c>
      <c r="R77" s="56">
        <v>0</v>
      </c>
      <c r="S77" s="56">
        <v>-2040712.2161065207</v>
      </c>
    </row>
    <row r="78" spans="2:19" x14ac:dyDescent="0.25">
      <c r="B78" s="35">
        <v>66</v>
      </c>
      <c r="C78" s="36">
        <f t="shared" si="18"/>
        <v>46810</v>
      </c>
      <c r="D78" s="31">
        <v>46812</v>
      </c>
      <c r="E78" s="37">
        <f t="shared" ref="E78:E127" si="19">EXP(-F78/100*(D78-$C$12)/365)</f>
        <v>1.039672555572446</v>
      </c>
      <c r="F78" s="37">
        <f t="shared" si="15"/>
        <v>-0.70649859729983788</v>
      </c>
      <c r="G78" s="37">
        <f t="shared" si="17"/>
        <v>0.84666709558357356</v>
      </c>
      <c r="H78" s="37">
        <f t="shared" si="14"/>
        <v>3.0225577552588367</v>
      </c>
      <c r="I78" s="37">
        <f t="shared" si="16"/>
        <v>9.3724692202462379</v>
      </c>
      <c r="J78" s="34">
        <f t="shared" si="3"/>
        <v>9.4533327379033256</v>
      </c>
      <c r="L78" s="55">
        <v>1181393.9614543738</v>
      </c>
      <c r="M78" s="55">
        <v>0</v>
      </c>
      <c r="N78" s="55">
        <v>0</v>
      </c>
      <c r="O78" s="55">
        <v>-2055742.149862811</v>
      </c>
      <c r="P78" s="56">
        <v>1323618.0256838202</v>
      </c>
      <c r="Q78" s="56">
        <v>0</v>
      </c>
      <c r="R78" s="56">
        <v>0</v>
      </c>
      <c r="S78" s="56">
        <v>-2052205.1694089577</v>
      </c>
    </row>
    <row r="79" spans="2:19" x14ac:dyDescent="0.25">
      <c r="B79" s="35">
        <v>67</v>
      </c>
      <c r="C79" s="36">
        <f t="shared" si="18"/>
        <v>46841</v>
      </c>
      <c r="D79" s="31">
        <v>46843</v>
      </c>
      <c r="E79" s="37">
        <f t="shared" si="19"/>
        <v>1.0397478308680528</v>
      </c>
      <c r="F79" s="37">
        <f t="shared" si="15"/>
        <v>-0.69706261162168393</v>
      </c>
      <c r="G79" s="37">
        <f t="shared" si="17"/>
        <v>0.84481423722349558</v>
      </c>
      <c r="H79" s="37">
        <f t="shared" si="14"/>
        <v>3.0158283875705352</v>
      </c>
      <c r="I79" s="37">
        <f t="shared" si="16"/>
        <v>9.3737414500683993</v>
      </c>
      <c r="J79" s="34">
        <f t="shared" ref="J79:J125" si="20">((I79^2*(C79-$C$12)-I78^2*(C78-$C$12))/(C79-C78))^0.5</f>
        <v>9.4557844805064555</v>
      </c>
      <c r="L79" s="55">
        <v>1173631.4074195707</v>
      </c>
      <c r="M79" s="55">
        <v>0</v>
      </c>
      <c r="N79" s="55">
        <v>0</v>
      </c>
      <c r="O79" s="55">
        <v>-2102490.1733419225</v>
      </c>
      <c r="P79" s="56">
        <v>1312637.0362351665</v>
      </c>
      <c r="Q79" s="56">
        <v>0</v>
      </c>
      <c r="R79" s="56">
        <v>0</v>
      </c>
      <c r="S79" s="56">
        <v>-2075532.5588105542</v>
      </c>
    </row>
    <row r="80" spans="2:19" x14ac:dyDescent="0.25">
      <c r="B80" s="35">
        <v>68</v>
      </c>
      <c r="C80" s="36">
        <f t="shared" si="18"/>
        <v>46871</v>
      </c>
      <c r="D80" s="31">
        <v>46873</v>
      </c>
      <c r="E80" s="37">
        <f t="shared" si="19"/>
        <v>1.0398048145055472</v>
      </c>
      <c r="F80" s="37">
        <f t="shared" si="15"/>
        <v>-0.68793101257830913</v>
      </c>
      <c r="G80" s="37">
        <f t="shared" si="17"/>
        <v>0.8430341844684367</v>
      </c>
      <c r="H80" s="37">
        <f t="shared" si="14"/>
        <v>3.0093160962592749</v>
      </c>
      <c r="I80" s="37">
        <f t="shared" si="16"/>
        <v>9.3749726402188784</v>
      </c>
      <c r="J80" s="34">
        <f t="shared" si="20"/>
        <v>9.4582769227848811</v>
      </c>
      <c r="L80" s="55">
        <v>1166360.183725792</v>
      </c>
      <c r="M80" s="55">
        <v>0</v>
      </c>
      <c r="N80" s="55">
        <v>0</v>
      </c>
      <c r="O80" s="55">
        <v>-2147375.906305233</v>
      </c>
      <c r="P80" s="56">
        <v>1304995.6200569673</v>
      </c>
      <c r="Q80" s="56">
        <v>0</v>
      </c>
      <c r="R80" s="56">
        <v>0</v>
      </c>
      <c r="S80" s="56">
        <v>-2142568.7775338572</v>
      </c>
    </row>
    <row r="81" spans="2:19" x14ac:dyDescent="0.25">
      <c r="B81" s="35">
        <v>69</v>
      </c>
      <c r="C81" s="36">
        <f t="shared" si="18"/>
        <v>46902</v>
      </c>
      <c r="D81" s="31">
        <v>46904</v>
      </c>
      <c r="E81" s="37">
        <f t="shared" si="19"/>
        <v>1.0398473026385437</v>
      </c>
      <c r="F81" s="37">
        <f t="shared" si="15"/>
        <v>-0.67849502690015517</v>
      </c>
      <c r="G81" s="37">
        <f t="shared" si="17"/>
        <v>0.8412081972377895</v>
      </c>
      <c r="H81" s="37">
        <f t="shared" si="14"/>
        <v>3.0025867285709738</v>
      </c>
      <c r="I81" s="37">
        <f t="shared" si="16"/>
        <v>9.3762448700410399</v>
      </c>
      <c r="J81" s="34">
        <f t="shared" si="20"/>
        <v>9.4607692079672479</v>
      </c>
      <c r="L81" s="55">
        <v>1159089.2930530552</v>
      </c>
      <c r="M81" s="55">
        <v>0</v>
      </c>
      <c r="N81" s="55">
        <v>0</v>
      </c>
      <c r="O81" s="55">
        <v>-2193378.8889464904</v>
      </c>
      <c r="P81" s="56">
        <v>1287686.897283084</v>
      </c>
      <c r="Q81" s="56">
        <v>0</v>
      </c>
      <c r="R81" s="56">
        <v>0</v>
      </c>
      <c r="S81" s="56">
        <v>-2178794.0911373599</v>
      </c>
    </row>
    <row r="82" spans="2:19" x14ac:dyDescent="0.25">
      <c r="B82" s="35">
        <v>70</v>
      </c>
      <c r="C82" s="36">
        <f t="shared" si="18"/>
        <v>46932</v>
      </c>
      <c r="D82" s="31">
        <v>46934</v>
      </c>
      <c r="E82" s="37">
        <f t="shared" si="19"/>
        <v>1.0398725521938474</v>
      </c>
      <c r="F82" s="37">
        <f t="shared" si="15"/>
        <v>-0.66936342785678027</v>
      </c>
      <c r="G82" s="37">
        <f t="shared" si="17"/>
        <v>0.83945401482302318</v>
      </c>
      <c r="H82" s="37">
        <f t="shared" si="14"/>
        <v>2.9960744372597139</v>
      </c>
      <c r="I82" s="37">
        <f t="shared" si="16"/>
        <v>9.3774760601915172</v>
      </c>
      <c r="J82" s="34">
        <f t="shared" si="20"/>
        <v>9.4632613307491216</v>
      </c>
      <c r="L82" s="55">
        <v>1152282.0732181808</v>
      </c>
      <c r="M82" s="55">
        <v>0</v>
      </c>
      <c r="N82" s="55">
        <v>0</v>
      </c>
      <c r="O82" s="55">
        <v>-2237519.6546459207</v>
      </c>
      <c r="P82" s="56">
        <v>1264746.8009945487</v>
      </c>
      <c r="Q82" s="56">
        <v>0</v>
      </c>
      <c r="R82" s="56">
        <v>0</v>
      </c>
      <c r="S82" s="56">
        <v>-2197318.6525623049</v>
      </c>
    </row>
    <row r="83" spans="2:19" x14ac:dyDescent="0.25">
      <c r="B83" s="35">
        <v>71</v>
      </c>
      <c r="C83" s="36">
        <f t="shared" si="18"/>
        <v>46963</v>
      </c>
      <c r="D83" s="31">
        <v>46965</v>
      </c>
      <c r="E83" s="37">
        <f t="shared" si="19"/>
        <v>1.0398822452540897</v>
      </c>
      <c r="F83" s="37">
        <f t="shared" si="15"/>
        <v>-0.65992744217862642</v>
      </c>
      <c r="G83" s="37">
        <f t="shared" si="17"/>
        <v>0.83765462302081906</v>
      </c>
      <c r="H83" s="37">
        <f t="shared" si="14"/>
        <v>2.9893450695714119</v>
      </c>
      <c r="I83" s="37">
        <f t="shared" si="16"/>
        <v>9.3787482900136787</v>
      </c>
      <c r="J83" s="34">
        <f t="shared" si="20"/>
        <v>9.4657532966862021</v>
      </c>
      <c r="L83" s="55">
        <v>1145478.9303563097</v>
      </c>
      <c r="M83" s="55">
        <v>0</v>
      </c>
      <c r="N83" s="55">
        <v>0</v>
      </c>
      <c r="O83" s="55">
        <v>-2282729.62285903</v>
      </c>
      <c r="P83" s="56">
        <v>1260324.0905721772</v>
      </c>
      <c r="Q83" s="56">
        <v>0</v>
      </c>
      <c r="R83" s="56">
        <v>0</v>
      </c>
      <c r="S83" s="56">
        <v>-2242154.3750275378</v>
      </c>
    </row>
    <row r="84" spans="2:19" x14ac:dyDescent="0.25">
      <c r="B84" s="35">
        <v>72</v>
      </c>
      <c r="C84" s="36">
        <f t="shared" si="18"/>
        <v>46994</v>
      </c>
      <c r="D84" s="31">
        <v>46996</v>
      </c>
      <c r="E84" s="37">
        <f t="shared" si="19"/>
        <v>1.0398752708906678</v>
      </c>
      <c r="F84" s="37">
        <f t="shared" si="15"/>
        <v>-0.65049145650047246</v>
      </c>
      <c r="G84" s="37">
        <f t="shared" si="17"/>
        <v>0.83586864277709727</v>
      </c>
      <c r="H84" s="37">
        <f>Rates!G26</f>
        <v>2.9826157018831099</v>
      </c>
      <c r="I84" s="37">
        <f t="shared" si="16"/>
        <v>9.380020519835842</v>
      </c>
      <c r="J84" s="34">
        <f t="shared" si="20"/>
        <v>9.4682859497698875</v>
      </c>
      <c r="L84" s="55">
        <v>1138904.9097925229</v>
      </c>
      <c r="M84" s="55">
        <v>0</v>
      </c>
      <c r="N84" s="55">
        <v>0</v>
      </c>
      <c r="O84" s="55">
        <v>-2327520.0830971729</v>
      </c>
      <c r="P84" s="56">
        <v>1254423.7000694575</v>
      </c>
      <c r="Q84" s="56">
        <v>0</v>
      </c>
      <c r="R84" s="56">
        <v>0</v>
      </c>
      <c r="S84" s="56">
        <v>-2280944.8439019406</v>
      </c>
    </row>
    <row r="85" spans="2:19" x14ac:dyDescent="0.25">
      <c r="B85" s="35">
        <v>73</v>
      </c>
      <c r="C85" s="36">
        <f t="shared" si="18"/>
        <v>47024</v>
      </c>
      <c r="D85" s="31">
        <v>47026</v>
      </c>
      <c r="E85" s="37">
        <f t="shared" si="19"/>
        <v>1.0398526522091567</v>
      </c>
      <c r="F85" s="37">
        <f t="shared" si="15"/>
        <v>-0.64135985745709756</v>
      </c>
      <c r="G85" s="37">
        <f t="shared" si="17"/>
        <v>0.83398945522483325</v>
      </c>
      <c r="H85" s="37">
        <f t="shared" ref="H85:H95" si="21">($H$84*($D$96-D85)+$H$96*(D85-$D$84))/($D$96-$D$84)</f>
        <v>2.9793210394019658</v>
      </c>
      <c r="I85" s="37">
        <f t="shared" si="16"/>
        <v>9.3812517099863193</v>
      </c>
      <c r="J85" s="34">
        <f t="shared" si="20"/>
        <v>9.4707775916420953</v>
      </c>
      <c r="L85" s="55">
        <v>1131469.7051575948</v>
      </c>
      <c r="M85" s="55">
        <v>0</v>
      </c>
      <c r="N85" s="55">
        <v>0</v>
      </c>
      <c r="O85" s="55">
        <v>-2372879.7930074213</v>
      </c>
      <c r="P85" s="56">
        <v>1233905.8912933781</v>
      </c>
      <c r="Q85" s="56">
        <v>0</v>
      </c>
      <c r="R85" s="56">
        <v>0</v>
      </c>
      <c r="S85" s="56">
        <v>-2313439.0593758165</v>
      </c>
    </row>
    <row r="86" spans="2:19" x14ac:dyDescent="0.25">
      <c r="B86" s="35">
        <v>74</v>
      </c>
      <c r="C86" s="36">
        <f t="shared" si="18"/>
        <v>47055</v>
      </c>
      <c r="D86" s="31">
        <v>47057</v>
      </c>
      <c r="E86" s="37">
        <f t="shared" si="19"/>
        <v>1.039812882391286</v>
      </c>
      <c r="F86" s="37">
        <f t="shared" si="15"/>
        <v>-0.63192387177894371</v>
      </c>
      <c r="G86" s="37">
        <f t="shared" si="17"/>
        <v>0.83205680045237762</v>
      </c>
      <c r="H86" s="37">
        <f t="shared" si="21"/>
        <v>2.9759165548381179</v>
      </c>
      <c r="I86" s="37">
        <f t="shared" si="16"/>
        <v>9.3825239398084808</v>
      </c>
      <c r="J86" s="34">
        <f t="shared" si="20"/>
        <v>9.4732690770470054</v>
      </c>
      <c r="L86" s="55">
        <v>1123987.3405272244</v>
      </c>
      <c r="M86" s="55">
        <v>0</v>
      </c>
      <c r="N86" s="55">
        <v>0</v>
      </c>
      <c r="O86" s="55">
        <v>-2419413.7119758492</v>
      </c>
      <c r="P86" s="56">
        <v>1223791.387698398</v>
      </c>
      <c r="Q86" s="56">
        <v>0</v>
      </c>
      <c r="R86" s="56">
        <v>0</v>
      </c>
      <c r="S86" s="56">
        <v>-2360087.848184064</v>
      </c>
    </row>
    <row r="87" spans="2:19" x14ac:dyDescent="0.25">
      <c r="B87" s="35">
        <v>75</v>
      </c>
      <c r="C87" s="36">
        <f t="shared" si="18"/>
        <v>47085</v>
      </c>
      <c r="D87" s="31">
        <v>47087</v>
      </c>
      <c r="E87" s="37">
        <f t="shared" si="19"/>
        <v>1.0397585290133176</v>
      </c>
      <c r="F87" s="37">
        <f t="shared" si="15"/>
        <v>-0.62279227273556892</v>
      </c>
      <c r="G87" s="37">
        <f t="shared" si="17"/>
        <v>0.8301953249345394</v>
      </c>
      <c r="H87" s="37">
        <f t="shared" si="21"/>
        <v>2.9726218923569738</v>
      </c>
      <c r="I87" s="37">
        <f t="shared" si="16"/>
        <v>9.3837551299589599</v>
      </c>
      <c r="J87" s="34">
        <f t="shared" si="20"/>
        <v>9.4757604006862728</v>
      </c>
      <c r="L87" s="55">
        <v>1116935.9296092167</v>
      </c>
      <c r="M87" s="55">
        <v>0</v>
      </c>
      <c r="N87" s="55">
        <v>0</v>
      </c>
      <c r="O87" s="55">
        <v>-2464110.4920156449</v>
      </c>
      <c r="P87" s="56">
        <v>1207455.2509325754</v>
      </c>
      <c r="Q87" s="56">
        <v>0</v>
      </c>
      <c r="R87" s="56">
        <v>0</v>
      </c>
      <c r="S87" s="56">
        <v>-2377756.6515442571</v>
      </c>
    </row>
    <row r="88" spans="2:19" x14ac:dyDescent="0.25">
      <c r="B88" s="35">
        <v>76</v>
      </c>
      <c r="C88" s="36">
        <f t="shared" si="18"/>
        <v>47116</v>
      </c>
      <c r="D88" s="31">
        <v>47118</v>
      </c>
      <c r="E88" s="37">
        <f t="shared" si="19"/>
        <v>1.0396859711450968</v>
      </c>
      <c r="F88" s="37">
        <f t="shared" si="15"/>
        <v>-0.61335628705741485</v>
      </c>
      <c r="G88" s="37">
        <f t="shared" si="17"/>
        <v>0.82828088779585551</v>
      </c>
      <c r="H88" s="37">
        <f t="shared" si="21"/>
        <v>2.969217407793125</v>
      </c>
      <c r="I88" s="37">
        <f t="shared" si="16"/>
        <v>9.3850273597811213</v>
      </c>
      <c r="J88" s="34">
        <f t="shared" si="20"/>
        <v>9.4782515681073889</v>
      </c>
      <c r="L88" s="55">
        <v>1109840.7198408647</v>
      </c>
      <c r="M88" s="55">
        <v>0</v>
      </c>
      <c r="N88" s="55">
        <v>0</v>
      </c>
      <c r="O88" s="55">
        <v>-2509940.8946031276</v>
      </c>
      <c r="P88" s="56">
        <v>1190459.9514153686</v>
      </c>
      <c r="Q88" s="56">
        <v>0</v>
      </c>
      <c r="R88" s="56">
        <v>0</v>
      </c>
      <c r="S88" s="56">
        <v>-2430264.5212109494</v>
      </c>
    </row>
    <row r="89" spans="2:19" x14ac:dyDescent="0.25">
      <c r="B89" s="35">
        <v>77</v>
      </c>
      <c r="C89" s="36">
        <f t="shared" si="18"/>
        <v>47147</v>
      </c>
      <c r="D89" s="31">
        <v>47149</v>
      </c>
      <c r="E89" s="37">
        <f t="shared" si="19"/>
        <v>1.0395967552903462</v>
      </c>
      <c r="F89" s="37">
        <f t="shared" si="15"/>
        <v>-0.603920301379261</v>
      </c>
      <c r="G89" s="37">
        <f t="shared" si="17"/>
        <v>0.82637564424825294</v>
      </c>
      <c r="H89" s="37">
        <f t="shared" si="21"/>
        <v>2.9658129232292763</v>
      </c>
      <c r="I89" s="37">
        <f t="shared" si="16"/>
        <v>9.3862995896032828</v>
      </c>
      <c r="J89" s="34">
        <f t="shared" si="20"/>
        <v>9.4807834102321156</v>
      </c>
      <c r="L89" s="55">
        <v>1102935.3231586916</v>
      </c>
      <c r="M89" s="55">
        <v>0</v>
      </c>
      <c r="N89" s="55">
        <v>0</v>
      </c>
      <c r="O89" s="55">
        <v>-2555400.5437471932</v>
      </c>
      <c r="P89" s="56">
        <v>1175155.8314058781</v>
      </c>
      <c r="Q89" s="56">
        <v>0</v>
      </c>
      <c r="R89" s="56">
        <v>0</v>
      </c>
      <c r="S89" s="56">
        <v>-2464100.532350006</v>
      </c>
    </row>
    <row r="90" spans="2:19" x14ac:dyDescent="0.25">
      <c r="B90" s="35">
        <v>78</v>
      </c>
      <c r="C90" s="36">
        <f t="shared" si="18"/>
        <v>47175</v>
      </c>
      <c r="D90" s="31">
        <v>47177</v>
      </c>
      <c r="E90" s="37">
        <f t="shared" si="19"/>
        <v>1.0395018588848732</v>
      </c>
      <c r="F90" s="37">
        <f t="shared" si="15"/>
        <v>-0.59539747560544443</v>
      </c>
      <c r="G90" s="37">
        <f t="shared" si="17"/>
        <v>0.8246626452922845</v>
      </c>
      <c r="H90" s="37">
        <f t="shared" si="21"/>
        <v>2.9627379049135421</v>
      </c>
      <c r="I90" s="37">
        <f t="shared" si="16"/>
        <v>9.3874487004103955</v>
      </c>
      <c r="J90" s="34">
        <f t="shared" si="20"/>
        <v>9.4831925877196426</v>
      </c>
      <c r="L90" s="55">
        <v>1096857.6257751649</v>
      </c>
      <c r="M90" s="55">
        <v>0</v>
      </c>
      <c r="N90" s="55">
        <v>0</v>
      </c>
      <c r="O90" s="55">
        <v>-2596135.3456222378</v>
      </c>
      <c r="P90" s="56">
        <v>1165039.1571454485</v>
      </c>
      <c r="Q90" s="56">
        <v>0</v>
      </c>
      <c r="R90" s="56">
        <v>0</v>
      </c>
      <c r="S90" s="56">
        <v>-2508161.4010441541</v>
      </c>
    </row>
    <row r="91" spans="2:19" x14ac:dyDescent="0.25">
      <c r="B91" s="35">
        <v>79</v>
      </c>
      <c r="C91" s="36">
        <f t="shared" si="18"/>
        <v>47206</v>
      </c>
      <c r="D91" s="31">
        <v>47208</v>
      </c>
      <c r="E91" s="37">
        <f t="shared" si="19"/>
        <v>1.0393809516360628</v>
      </c>
      <c r="F91" s="37">
        <f t="shared" si="15"/>
        <v>-0.58596148992729047</v>
      </c>
      <c r="G91" s="37">
        <f t="shared" si="17"/>
        <v>0.82277478020405781</v>
      </c>
      <c r="H91" s="37">
        <f t="shared" si="21"/>
        <v>2.9593334203496937</v>
      </c>
      <c r="I91" s="37">
        <f t="shared" si="16"/>
        <v>9.3887209302325569</v>
      </c>
      <c r="J91" s="34">
        <f t="shared" si="20"/>
        <v>9.4856016247374679</v>
      </c>
      <c r="L91" s="55">
        <v>1090301.2917425958</v>
      </c>
      <c r="M91" s="55">
        <v>0</v>
      </c>
      <c r="N91" s="55">
        <v>0</v>
      </c>
      <c r="O91" s="55">
        <v>-2640867.0313037662</v>
      </c>
      <c r="P91" s="56">
        <v>1154465.7477488334</v>
      </c>
      <c r="Q91" s="56">
        <v>0</v>
      </c>
      <c r="R91" s="56">
        <v>0</v>
      </c>
      <c r="S91" s="56">
        <v>-2550401.8615150391</v>
      </c>
    </row>
    <row r="92" spans="2:19" x14ac:dyDescent="0.25">
      <c r="B92" s="35">
        <v>80</v>
      </c>
      <c r="C92" s="36">
        <f t="shared" si="18"/>
        <v>47236</v>
      </c>
      <c r="D92" s="31">
        <v>47238</v>
      </c>
      <c r="E92" s="37">
        <f t="shared" si="19"/>
        <v>1.0392480978950942</v>
      </c>
      <c r="F92" s="37">
        <f t="shared" si="15"/>
        <v>-0.57682989088391567</v>
      </c>
      <c r="G92" s="37">
        <f t="shared" si="17"/>
        <v>0.82095644932445533</v>
      </c>
      <c r="H92" s="37">
        <f t="shared" si="21"/>
        <v>2.9560387578685501</v>
      </c>
      <c r="I92" s="37">
        <f t="shared" si="16"/>
        <v>9.3899521203830378</v>
      </c>
      <c r="J92" s="34">
        <f t="shared" si="20"/>
        <v>9.4880921627751089</v>
      </c>
      <c r="L92" s="55">
        <v>1084125.2926207483</v>
      </c>
      <c r="M92" s="55">
        <v>0</v>
      </c>
      <c r="N92" s="55">
        <v>0</v>
      </c>
      <c r="O92" s="55">
        <v>-2683781.3250388261</v>
      </c>
      <c r="P92" s="56">
        <v>1146533.3381289621</v>
      </c>
      <c r="Q92" s="56">
        <v>0</v>
      </c>
      <c r="R92" s="56">
        <v>0</v>
      </c>
      <c r="S92" s="56">
        <v>-2605730.6667989814</v>
      </c>
    </row>
    <row r="93" spans="2:19" x14ac:dyDescent="0.25">
      <c r="B93" s="35">
        <v>81</v>
      </c>
      <c r="C93" s="36">
        <f t="shared" si="18"/>
        <v>47267</v>
      </c>
      <c r="D93" s="31">
        <v>47269</v>
      </c>
      <c r="E93" s="37">
        <f t="shared" si="19"/>
        <v>1.0390944471683947</v>
      </c>
      <c r="F93" s="37">
        <f t="shared" si="15"/>
        <v>-0.56739390520576172</v>
      </c>
      <c r="G93" s="37">
        <f t="shared" si="17"/>
        <v>0.81908638930944921</v>
      </c>
      <c r="H93" s="37">
        <f t="shared" si="21"/>
        <v>2.9526342733047013</v>
      </c>
      <c r="I93" s="37">
        <f t="shared" si="16"/>
        <v>9.3912243502051975</v>
      </c>
      <c r="J93" s="34">
        <f t="shared" si="20"/>
        <v>9.490582545209385</v>
      </c>
      <c r="L93" s="55">
        <v>1077913.9712750418</v>
      </c>
      <c r="M93" s="55">
        <v>0</v>
      </c>
      <c r="N93" s="55">
        <v>0</v>
      </c>
      <c r="O93" s="55">
        <v>-2727732.4614737462</v>
      </c>
      <c r="P93" s="56">
        <v>1134829.900546287</v>
      </c>
      <c r="Q93" s="56">
        <v>0</v>
      </c>
      <c r="R93" s="56">
        <v>0</v>
      </c>
      <c r="S93" s="56">
        <v>-2642866.8016629163</v>
      </c>
    </row>
    <row r="94" spans="2:19" x14ac:dyDescent="0.25">
      <c r="B94" s="35">
        <v>82</v>
      </c>
      <c r="C94" s="36">
        <f t="shared" si="18"/>
        <v>47297</v>
      </c>
      <c r="D94" s="31">
        <v>47299</v>
      </c>
      <c r="E94" s="37">
        <f t="shared" si="19"/>
        <v>1.0389299192862145</v>
      </c>
      <c r="F94" s="37">
        <f t="shared" si="15"/>
        <v>-0.55826230616238692</v>
      </c>
      <c r="G94" s="37">
        <f t="shared" si="17"/>
        <v>0.81728520990502707</v>
      </c>
      <c r="H94" s="37">
        <f t="shared" si="21"/>
        <v>2.9493396108235572</v>
      </c>
      <c r="I94" s="37">
        <f t="shared" si="16"/>
        <v>9.3924555403556766</v>
      </c>
      <c r="J94" s="34">
        <f t="shared" si="20"/>
        <v>9.4930727667525563</v>
      </c>
      <c r="L94" s="55">
        <v>1072064.4278665334</v>
      </c>
      <c r="M94" s="55">
        <v>0</v>
      </c>
      <c r="N94" s="55">
        <v>0</v>
      </c>
      <c r="O94" s="55">
        <v>-2769878.8321847823</v>
      </c>
      <c r="P94" s="56">
        <v>1123692.416086345</v>
      </c>
      <c r="Q94" s="56">
        <v>0</v>
      </c>
      <c r="R94" s="56">
        <v>0</v>
      </c>
      <c r="S94" s="56">
        <v>-2705096.7690911829</v>
      </c>
    </row>
    <row r="95" spans="2:19" x14ac:dyDescent="0.25">
      <c r="B95" s="35">
        <v>83</v>
      </c>
      <c r="C95" s="36">
        <f t="shared" si="18"/>
        <v>47328</v>
      </c>
      <c r="D95" s="31">
        <v>47330</v>
      </c>
      <c r="E95" s="37">
        <f t="shared" si="19"/>
        <v>1.038743553675233</v>
      </c>
      <c r="F95" s="37">
        <f t="shared" si="15"/>
        <v>-0.54882632048423297</v>
      </c>
      <c r="G95" s="37">
        <f t="shared" si="17"/>
        <v>0.81543279168228611</v>
      </c>
      <c r="H95" s="37">
        <f t="shared" si="21"/>
        <v>2.9459351262597084</v>
      </c>
      <c r="I95" s="37">
        <f t="shared" si="16"/>
        <v>9.3937277701778381</v>
      </c>
      <c r="J95" s="34">
        <f t="shared" si="20"/>
        <v>9.4955628329403776</v>
      </c>
      <c r="L95" s="55"/>
      <c r="M95" s="55"/>
      <c r="N95" s="55"/>
      <c r="O95" s="55"/>
      <c r="P95" s="56"/>
      <c r="Q95" s="56"/>
      <c r="R95" s="56"/>
      <c r="S95" s="56"/>
    </row>
    <row r="96" spans="2:19" x14ac:dyDescent="0.25">
      <c r="B96" s="35">
        <v>84</v>
      </c>
      <c r="C96" s="36">
        <f t="shared" si="18"/>
        <v>47359</v>
      </c>
      <c r="D96" s="31">
        <v>47361</v>
      </c>
      <c r="E96" s="37">
        <f t="shared" si="19"/>
        <v>1.0385405753739263</v>
      </c>
      <c r="F96" s="37">
        <f>Rates!N27</f>
        <v>-0.53939033480607901</v>
      </c>
      <c r="G96" s="37">
        <f t="shared" si="17"/>
        <v>0.81358927699975003</v>
      </c>
      <c r="H96" s="37">
        <f>Rates!G27</f>
        <v>2.9425306416958601</v>
      </c>
      <c r="I96" s="33">
        <f>Vols!E12</f>
        <v>9.3949999999999996</v>
      </c>
      <c r="J96" s="34">
        <f t="shared" si="20"/>
        <v>9.4980935566697795</v>
      </c>
      <c r="L96" s="55"/>
      <c r="M96" s="55"/>
      <c r="N96" s="55"/>
      <c r="O96" s="55"/>
      <c r="P96" s="56"/>
      <c r="Q96" s="56"/>
      <c r="R96" s="56"/>
      <c r="S96" s="56"/>
    </row>
    <row r="97" spans="2:19" x14ac:dyDescent="0.25">
      <c r="B97" s="35">
        <v>85</v>
      </c>
      <c r="C97" s="36">
        <f t="shared" si="18"/>
        <v>47389</v>
      </c>
      <c r="D97" s="31">
        <v>47391</v>
      </c>
      <c r="E97" s="37">
        <f t="shared" si="19"/>
        <v>1.0386960676698129</v>
      </c>
      <c r="F97" s="37">
        <f>($F$96*($D$127-D97)+$F$127*(D97-$D$96))/($D$127-$D$96)</f>
        <v>-0.53525079491296468</v>
      </c>
      <c r="G97" s="37">
        <f t="shared" si="17"/>
        <v>0.8117471876614919</v>
      </c>
      <c r="H97" s="37">
        <f t="shared" ref="H97:H107" si="22">($H$96*($D$108-D97)+$H$108*(D97-$D$96))/($D$108-$D$96)</f>
        <v>2.9403905514934707</v>
      </c>
      <c r="I97" s="37">
        <f>($I$96*($D$127-D97)+$I$127*(D97-$D$96))/($D$127-$D$96)</f>
        <v>9.3990374087591242</v>
      </c>
      <c r="J97" s="34">
        <f t="shared" si="20"/>
        <v>9.7370088999182975</v>
      </c>
      <c r="L97" s="55"/>
      <c r="M97" s="55"/>
      <c r="N97" s="55"/>
      <c r="O97" s="55"/>
      <c r="P97" s="56"/>
      <c r="Q97" s="56"/>
      <c r="R97" s="56"/>
      <c r="S97" s="56"/>
    </row>
    <row r="98" spans="2:19" x14ac:dyDescent="0.25">
      <c r="B98" s="35">
        <v>86</v>
      </c>
      <c r="C98" s="36">
        <f t="shared" si="18"/>
        <v>47420</v>
      </c>
      <c r="D98" s="31">
        <v>47422</v>
      </c>
      <c r="E98" s="37">
        <f t="shared" si="19"/>
        <v>1.0388493410098003</v>
      </c>
      <c r="F98" s="37">
        <f t="shared" ref="F98:F126" si="23">($F$96*($D$127-D98)+$F$127*(D98-$D$96))/($D$127-$D$96)</f>
        <v>-0.53097327035674635</v>
      </c>
      <c r="G98" s="37">
        <f t="shared" si="17"/>
        <v>0.80985106990893041</v>
      </c>
      <c r="H98" s="37">
        <f t="shared" si="22"/>
        <v>2.9381791249510019</v>
      </c>
      <c r="I98" s="37">
        <f t="shared" ref="I98:I126" si="24">($I$96*($D$127-D98)+$I$127*(D98-$D$96))/($D$127-$D$96)</f>
        <v>9.4032093978102189</v>
      </c>
      <c r="J98" s="34">
        <f t="shared" si="20"/>
        <v>9.74507683261929</v>
      </c>
      <c r="L98" s="55"/>
      <c r="M98" s="55"/>
      <c r="N98" s="55"/>
      <c r="O98" s="55"/>
      <c r="P98" s="56"/>
      <c r="Q98" s="56"/>
      <c r="R98" s="56"/>
      <c r="S98" s="56"/>
    </row>
    <row r="99" spans="2:19" x14ac:dyDescent="0.25">
      <c r="B99" s="35">
        <v>87</v>
      </c>
      <c r="C99" s="36">
        <f t="shared" si="18"/>
        <v>47450</v>
      </c>
      <c r="D99" s="31">
        <v>47452</v>
      </c>
      <c r="E99" s="37">
        <f t="shared" si="19"/>
        <v>1.038990503681742</v>
      </c>
      <c r="F99" s="37">
        <f t="shared" si="23"/>
        <v>-0.52683373046363202</v>
      </c>
      <c r="G99" s="37">
        <f t="shared" si="17"/>
        <v>0.80802322435111351</v>
      </c>
      <c r="H99" s="37">
        <f t="shared" si="22"/>
        <v>2.9360390347486125</v>
      </c>
      <c r="I99" s="37">
        <f t="shared" si="24"/>
        <v>9.4072468065693435</v>
      </c>
      <c r="J99" s="34">
        <f t="shared" si="20"/>
        <v>9.7531432455966716</v>
      </c>
      <c r="L99" s="55"/>
      <c r="M99" s="55"/>
      <c r="N99" s="55"/>
      <c r="O99" s="55"/>
      <c r="P99" s="56"/>
      <c r="Q99" s="56"/>
      <c r="R99" s="56"/>
      <c r="S99" s="56"/>
    </row>
    <row r="100" spans="2:19" x14ac:dyDescent="0.25">
      <c r="B100" s="35">
        <v>88</v>
      </c>
      <c r="C100" s="36">
        <f t="shared" si="18"/>
        <v>47481</v>
      </c>
      <c r="D100" s="31">
        <v>47483</v>
      </c>
      <c r="E100" s="37">
        <f t="shared" si="19"/>
        <v>1.0391289634385628</v>
      </c>
      <c r="F100" s="37">
        <f t="shared" si="23"/>
        <v>-0.52255620590741381</v>
      </c>
      <c r="G100" s="37">
        <f t="shared" si="17"/>
        <v>0.80614176387899672</v>
      </c>
      <c r="H100" s="37">
        <f t="shared" si="22"/>
        <v>2.9338276082061436</v>
      </c>
      <c r="I100" s="37">
        <f t="shared" si="24"/>
        <v>9.4114187956204365</v>
      </c>
      <c r="J100" s="34">
        <f t="shared" si="20"/>
        <v>9.7612081992100954</v>
      </c>
      <c r="L100" s="55"/>
      <c r="M100" s="55"/>
      <c r="N100" s="55"/>
      <c r="O100" s="55"/>
      <c r="P100" s="56"/>
      <c r="Q100" s="56"/>
      <c r="R100" s="56"/>
      <c r="S100" s="56"/>
    </row>
    <row r="101" spans="2:19" x14ac:dyDescent="0.25">
      <c r="B101" s="35">
        <v>89</v>
      </c>
      <c r="C101" s="36">
        <f t="shared" si="18"/>
        <v>47512</v>
      </c>
      <c r="D101" s="31">
        <v>47514</v>
      </c>
      <c r="E101" s="37">
        <f t="shared" si="19"/>
        <v>1.039259890427793</v>
      </c>
      <c r="F101" s="37">
        <f t="shared" si="23"/>
        <v>-0.51827868135119559</v>
      </c>
      <c r="G101" s="37">
        <f t="shared" si="17"/>
        <v>0.80426770547941384</v>
      </c>
      <c r="H101" s="37">
        <f t="shared" si="22"/>
        <v>2.9316161816636748</v>
      </c>
      <c r="I101" s="37">
        <f t="shared" si="24"/>
        <v>9.415590784671533</v>
      </c>
      <c r="J101" s="34">
        <f t="shared" si="20"/>
        <v>9.7694038301170742</v>
      </c>
      <c r="L101" s="55"/>
      <c r="M101" s="55"/>
      <c r="N101" s="55"/>
      <c r="O101" s="55"/>
      <c r="P101" s="56"/>
      <c r="Q101" s="56"/>
      <c r="R101" s="56"/>
      <c r="S101" s="56"/>
    </row>
    <row r="102" spans="2:19" x14ac:dyDescent="0.25">
      <c r="B102" s="35">
        <v>90</v>
      </c>
      <c r="C102" s="36">
        <f t="shared" si="18"/>
        <v>47540</v>
      </c>
      <c r="D102" s="31">
        <v>47542</v>
      </c>
      <c r="E102" s="37">
        <f t="shared" si="19"/>
        <v>1.0393716701133571</v>
      </c>
      <c r="F102" s="37">
        <f t="shared" si="23"/>
        <v>-0.51441511078428881</v>
      </c>
      <c r="G102" s="37">
        <f t="shared" si="17"/>
        <v>0.8025813437952829</v>
      </c>
      <c r="H102" s="37">
        <f t="shared" si="22"/>
        <v>2.9296187641414448</v>
      </c>
      <c r="I102" s="37">
        <f t="shared" si="24"/>
        <v>9.4193590328467156</v>
      </c>
      <c r="J102" s="34">
        <f t="shared" si="20"/>
        <v>9.7772014371961156</v>
      </c>
      <c r="L102" s="55"/>
      <c r="M102" s="55"/>
      <c r="N102" s="55"/>
      <c r="O102" s="55"/>
      <c r="P102" s="56"/>
      <c r="Q102" s="56"/>
      <c r="R102" s="56"/>
      <c r="S102" s="56"/>
    </row>
    <row r="103" spans="2:19" x14ac:dyDescent="0.25">
      <c r="B103" s="35">
        <v>91</v>
      </c>
      <c r="C103" s="36">
        <f t="shared" si="18"/>
        <v>47571</v>
      </c>
      <c r="D103" s="31">
        <v>47573</v>
      </c>
      <c r="E103" s="37">
        <f t="shared" si="19"/>
        <v>1.0394882528023721</v>
      </c>
      <c r="F103" s="37">
        <f t="shared" si="23"/>
        <v>-0.51013758622807071</v>
      </c>
      <c r="G103" s="37">
        <f t="shared" si="17"/>
        <v>0.80072128694714007</v>
      </c>
      <c r="H103" s="37">
        <f t="shared" si="22"/>
        <v>2.927407337598976</v>
      </c>
      <c r="I103" s="37">
        <f t="shared" si="24"/>
        <v>9.4235310218978103</v>
      </c>
      <c r="J103" s="34">
        <f t="shared" si="20"/>
        <v>9.7849977447655938</v>
      </c>
      <c r="L103" s="55"/>
      <c r="M103" s="55"/>
      <c r="N103" s="55"/>
      <c r="O103" s="55"/>
      <c r="P103" s="56"/>
      <c r="Q103" s="56"/>
      <c r="R103" s="56"/>
      <c r="S103" s="56"/>
    </row>
    <row r="104" spans="2:19" x14ac:dyDescent="0.25">
      <c r="B104" s="35">
        <v>92</v>
      </c>
      <c r="C104" s="36">
        <f t="shared" si="18"/>
        <v>47601</v>
      </c>
      <c r="D104" s="31">
        <v>47603</v>
      </c>
      <c r="E104" s="37">
        <f t="shared" si="19"/>
        <v>1.0395938951342429</v>
      </c>
      <c r="F104" s="37">
        <f t="shared" si="23"/>
        <v>-0.50599804633495626</v>
      </c>
      <c r="G104" s="37">
        <f t="shared" si="17"/>
        <v>0.79892819397568238</v>
      </c>
      <c r="H104" s="37">
        <f t="shared" si="22"/>
        <v>2.9252672473965866</v>
      </c>
      <c r="I104" s="37">
        <f t="shared" si="24"/>
        <v>9.427568430656935</v>
      </c>
      <c r="J104" s="34">
        <f t="shared" si="20"/>
        <v>9.7930568284591146</v>
      </c>
      <c r="L104" s="55"/>
      <c r="M104" s="55"/>
      <c r="N104" s="55"/>
      <c r="O104" s="55"/>
      <c r="P104" s="56"/>
      <c r="Q104" s="56"/>
      <c r="R104" s="56"/>
      <c r="S104" s="56"/>
    </row>
    <row r="105" spans="2:19" x14ac:dyDescent="0.25">
      <c r="B105" s="35">
        <v>93</v>
      </c>
      <c r="C105" s="36">
        <f t="shared" si="18"/>
        <v>47632</v>
      </c>
      <c r="D105" s="31">
        <v>47634</v>
      </c>
      <c r="E105" s="37">
        <f t="shared" si="19"/>
        <v>1.0396956376162982</v>
      </c>
      <c r="F105" s="37">
        <f t="shared" si="23"/>
        <v>-0.50172052177873805</v>
      </c>
      <c r="G105" s="37">
        <f t="shared" si="17"/>
        <v>0.79708249534886833</v>
      </c>
      <c r="H105" s="37">
        <f t="shared" si="22"/>
        <v>2.9230558208541173</v>
      </c>
      <c r="I105" s="37">
        <f t="shared" si="24"/>
        <v>9.4317404197080297</v>
      </c>
      <c r="J105" s="34">
        <f t="shared" si="20"/>
        <v>9.8011144707896563</v>
      </c>
      <c r="L105" s="55"/>
      <c r="M105" s="55"/>
      <c r="N105" s="55"/>
      <c r="O105" s="55"/>
      <c r="P105" s="56"/>
      <c r="Q105" s="56"/>
      <c r="R105" s="56"/>
      <c r="S105" s="56"/>
    </row>
    <row r="106" spans="2:19" x14ac:dyDescent="0.25">
      <c r="B106" s="35">
        <v>94</v>
      </c>
      <c r="C106" s="36">
        <f t="shared" si="18"/>
        <v>47662</v>
      </c>
      <c r="D106" s="31">
        <v>47664</v>
      </c>
      <c r="E106" s="37">
        <f t="shared" si="19"/>
        <v>1.039786914152159</v>
      </c>
      <c r="F106" s="37">
        <f t="shared" si="23"/>
        <v>-0.49758098188562372</v>
      </c>
      <c r="G106" s="37">
        <f t="shared" si="17"/>
        <v>0.79530323982064455</v>
      </c>
      <c r="H106" s="37">
        <f t="shared" si="22"/>
        <v>2.9209157306517288</v>
      </c>
      <c r="I106" s="37">
        <f t="shared" si="24"/>
        <v>9.4357778284671525</v>
      </c>
      <c r="J106" s="34">
        <f t="shared" si="20"/>
        <v>9.8091706189931003</v>
      </c>
      <c r="L106" s="55"/>
      <c r="M106" s="55"/>
      <c r="N106" s="55"/>
      <c r="O106" s="55"/>
      <c r="P106" s="56"/>
      <c r="Q106" s="56"/>
      <c r="R106" s="56"/>
      <c r="S106" s="56"/>
    </row>
    <row r="107" spans="2:19" x14ac:dyDescent="0.25">
      <c r="B107" s="35">
        <v>95</v>
      </c>
      <c r="C107" s="36">
        <f t="shared" si="18"/>
        <v>47693</v>
      </c>
      <c r="D107" s="31">
        <v>47695</v>
      </c>
      <c r="E107" s="37">
        <f t="shared" si="19"/>
        <v>1.0398738078439407</v>
      </c>
      <c r="F107" s="37">
        <f t="shared" si="23"/>
        <v>-0.4933034573294055</v>
      </c>
      <c r="G107" s="37">
        <f t="shared" si="17"/>
        <v>0.79347178064788793</v>
      </c>
      <c r="H107" s="37">
        <f t="shared" si="22"/>
        <v>2.9187043041092591</v>
      </c>
      <c r="I107" s="37">
        <f t="shared" si="24"/>
        <v>9.4399498175182472</v>
      </c>
      <c r="J107" s="34">
        <f t="shared" si="20"/>
        <v>9.8172253330180563</v>
      </c>
      <c r="L107" s="55"/>
      <c r="M107" s="55"/>
      <c r="N107" s="55"/>
      <c r="O107" s="55"/>
      <c r="P107" s="56"/>
      <c r="Q107" s="56"/>
      <c r="R107" s="56"/>
      <c r="S107" s="56"/>
    </row>
    <row r="108" spans="2:19" x14ac:dyDescent="0.25">
      <c r="B108" s="35">
        <v>96</v>
      </c>
      <c r="C108" s="36">
        <f t="shared" si="18"/>
        <v>47723</v>
      </c>
      <c r="D108" s="31">
        <v>47725</v>
      </c>
      <c r="E108" s="37">
        <f t="shared" si="19"/>
        <v>1.0399507108829402</v>
      </c>
      <c r="F108" s="37">
        <f t="shared" si="23"/>
        <v>-0.48916391743629106</v>
      </c>
      <c r="G108" s="37">
        <f t="shared" ref="G108:G127" si="25">EXP(-H108/100*(D108-$C$12)/365)</f>
        <v>0.79170624818880675</v>
      </c>
      <c r="H108" s="37">
        <f>Rates!G28</f>
        <v>2.9165642139068702</v>
      </c>
      <c r="I108" s="37">
        <f t="shared" si="24"/>
        <v>9.4439872262773736</v>
      </c>
      <c r="J108" s="34">
        <f t="shared" si="20"/>
        <v>9.8252785601677104</v>
      </c>
      <c r="L108" s="55"/>
      <c r="M108" s="55"/>
      <c r="N108" s="55"/>
      <c r="O108" s="55"/>
      <c r="P108" s="56"/>
      <c r="Q108" s="56"/>
      <c r="R108" s="56"/>
      <c r="S108" s="56"/>
    </row>
    <row r="109" spans="2:19" x14ac:dyDescent="0.25">
      <c r="B109" s="35">
        <v>97</v>
      </c>
      <c r="C109" s="36">
        <f t="shared" si="18"/>
        <v>47754</v>
      </c>
      <c r="D109" s="31">
        <v>47756</v>
      </c>
      <c r="E109" s="37">
        <f t="shared" si="19"/>
        <v>1.0400227484529518</v>
      </c>
      <c r="F109" s="37">
        <f t="shared" si="23"/>
        <v>-0.48488639288007296</v>
      </c>
      <c r="G109" s="37">
        <f t="shared" si="25"/>
        <v>0.78982262722956098</v>
      </c>
      <c r="H109" s="37">
        <f t="shared" ref="H109:H119" si="26">($H$108*($D$120-D109)+$H$120*(D109-$D$108))/($D$120-$D$108)</f>
        <v>2.9153896969143345</v>
      </c>
      <c r="I109" s="37">
        <f t="shared" si="24"/>
        <v>9.4481592153284666</v>
      </c>
      <c r="J109" s="34">
        <f t="shared" si="20"/>
        <v>9.8333303602721589</v>
      </c>
      <c r="L109" s="55"/>
      <c r="M109" s="55"/>
      <c r="N109" s="55"/>
      <c r="O109" s="55"/>
      <c r="P109" s="56"/>
      <c r="Q109" s="56"/>
      <c r="R109" s="56"/>
      <c r="S109" s="56"/>
    </row>
    <row r="110" spans="2:19" x14ac:dyDescent="0.25">
      <c r="B110" s="35">
        <v>98</v>
      </c>
      <c r="C110" s="36">
        <f t="shared" si="18"/>
        <v>47785</v>
      </c>
      <c r="D110" s="31">
        <v>47787</v>
      </c>
      <c r="E110" s="37">
        <f t="shared" si="19"/>
        <v>1.0400872337823213</v>
      </c>
      <c r="F110" s="37">
        <f t="shared" si="23"/>
        <v>-0.48060886832385469</v>
      </c>
      <c r="G110" s="37">
        <f t="shared" si="25"/>
        <v>0.78794505976967688</v>
      </c>
      <c r="H110" s="37">
        <f t="shared" si="26"/>
        <v>2.9142151799217992</v>
      </c>
      <c r="I110" s="37">
        <f t="shared" si="24"/>
        <v>9.4523312043795613</v>
      </c>
      <c r="J110" s="34">
        <f t="shared" si="20"/>
        <v>9.8415126553594732</v>
      </c>
      <c r="L110" s="55"/>
      <c r="M110" s="55"/>
      <c r="N110" s="55"/>
      <c r="O110" s="55"/>
      <c r="P110" s="56"/>
      <c r="Q110" s="56"/>
      <c r="R110" s="56"/>
      <c r="S110" s="56"/>
    </row>
    <row r="111" spans="2:19" x14ac:dyDescent="0.25">
      <c r="B111" s="35">
        <v>99</v>
      </c>
      <c r="C111" s="36">
        <f t="shared" si="18"/>
        <v>47815</v>
      </c>
      <c r="D111" s="31">
        <v>47817</v>
      </c>
      <c r="E111" s="37">
        <f t="shared" si="19"/>
        <v>1.0401424468757907</v>
      </c>
      <c r="F111" s="37">
        <f t="shared" si="23"/>
        <v>-0.4764693284307403</v>
      </c>
      <c r="G111" s="37">
        <f t="shared" si="25"/>
        <v>0.7861338021367571</v>
      </c>
      <c r="H111" s="37">
        <f t="shared" si="26"/>
        <v>2.9130785505741845</v>
      </c>
      <c r="I111" s="37">
        <f t="shared" si="24"/>
        <v>9.4563686131386859</v>
      </c>
      <c r="J111" s="34">
        <f t="shared" si="20"/>
        <v>9.8495615040684008</v>
      </c>
      <c r="L111" s="55"/>
      <c r="M111" s="55"/>
      <c r="N111" s="55"/>
      <c r="O111" s="55"/>
      <c r="P111" s="56"/>
      <c r="Q111" s="56"/>
      <c r="R111" s="56"/>
      <c r="S111" s="56"/>
    </row>
    <row r="112" spans="2:19" x14ac:dyDescent="0.25">
      <c r="B112" s="35">
        <v>100</v>
      </c>
      <c r="C112" s="36">
        <f t="shared" si="18"/>
        <v>47846</v>
      </c>
      <c r="D112" s="31">
        <v>47848</v>
      </c>
      <c r="E112" s="37">
        <f t="shared" si="19"/>
        <v>1.0401920673960041</v>
      </c>
      <c r="F112" s="37">
        <f t="shared" si="23"/>
        <v>-0.47219180387452214</v>
      </c>
      <c r="G112" s="37">
        <f t="shared" si="25"/>
        <v>0.78426808261719483</v>
      </c>
      <c r="H112" s="37">
        <f t="shared" si="26"/>
        <v>2.9119040335816493</v>
      </c>
      <c r="I112" s="37">
        <f t="shared" si="24"/>
        <v>9.4605406021897807</v>
      </c>
      <c r="J112" s="34">
        <f t="shared" si="20"/>
        <v>9.8576089363994761</v>
      </c>
      <c r="L112" s="55"/>
      <c r="M112" s="55"/>
      <c r="N112" s="55"/>
      <c r="O112" s="55"/>
      <c r="P112" s="56"/>
      <c r="Q112" s="56"/>
      <c r="R112" s="56"/>
      <c r="S112" s="56"/>
    </row>
    <row r="113" spans="2:23" x14ac:dyDescent="0.25">
      <c r="B113" s="35">
        <v>101</v>
      </c>
      <c r="C113" s="36">
        <f t="shared" si="18"/>
        <v>47877</v>
      </c>
      <c r="D113" s="31">
        <v>47879</v>
      </c>
      <c r="E113" s="37">
        <f t="shared" si="19"/>
        <v>1.0402341319853354</v>
      </c>
      <c r="F113" s="37">
        <f t="shared" si="23"/>
        <v>-0.46791427931830393</v>
      </c>
      <c r="G113" s="37">
        <f t="shared" si="25"/>
        <v>0.78240835193952718</v>
      </c>
      <c r="H113" s="37">
        <f t="shared" si="26"/>
        <v>2.9107295165891145</v>
      </c>
      <c r="I113" s="37">
        <f t="shared" si="24"/>
        <v>9.4647125912408772</v>
      </c>
      <c r="J113" s="34">
        <f t="shared" si="20"/>
        <v>9.8657868031087705</v>
      </c>
      <c r="L113" s="55"/>
      <c r="M113" s="55"/>
      <c r="N113" s="55"/>
      <c r="O113" s="55"/>
      <c r="P113" s="56"/>
      <c r="Q113" s="56"/>
      <c r="R113" s="56"/>
      <c r="S113" s="56"/>
    </row>
    <row r="114" spans="2:23" x14ac:dyDescent="0.25">
      <c r="B114" s="35">
        <v>102</v>
      </c>
      <c r="C114" s="36">
        <f t="shared" si="18"/>
        <v>47905</v>
      </c>
      <c r="D114" s="31">
        <v>47907</v>
      </c>
      <c r="E114" s="37">
        <f t="shared" si="19"/>
        <v>1.0402656305582421</v>
      </c>
      <c r="F114" s="37">
        <f t="shared" si="23"/>
        <v>-0.46405070875139715</v>
      </c>
      <c r="G114" s="37">
        <f t="shared" si="25"/>
        <v>0.78073372475635228</v>
      </c>
      <c r="H114" s="37">
        <f t="shared" si="26"/>
        <v>2.9096686625313399</v>
      </c>
      <c r="I114" s="37">
        <f t="shared" si="24"/>
        <v>9.468480839416058</v>
      </c>
      <c r="J114" s="34">
        <f t="shared" si="20"/>
        <v>9.8735675471627875</v>
      </c>
      <c r="L114" s="55"/>
      <c r="M114" s="55"/>
      <c r="N114" s="55"/>
      <c r="O114" s="55"/>
      <c r="P114" s="56"/>
      <c r="Q114" s="56"/>
      <c r="R114" s="56"/>
      <c r="S114" s="56"/>
    </row>
    <row r="115" spans="2:23" x14ac:dyDescent="0.25">
      <c r="B115" s="35">
        <v>103</v>
      </c>
      <c r="C115" s="36">
        <f t="shared" si="18"/>
        <v>47936</v>
      </c>
      <c r="D115" s="31">
        <v>47938</v>
      </c>
      <c r="E115" s="37">
        <f t="shared" si="19"/>
        <v>1.0402933121089097</v>
      </c>
      <c r="F115" s="37">
        <f t="shared" si="23"/>
        <v>-0.45977318419517893</v>
      </c>
      <c r="G115" s="37">
        <f t="shared" si="25"/>
        <v>0.77888533255788284</v>
      </c>
      <c r="H115" s="37">
        <f t="shared" si="26"/>
        <v>2.9084941455388051</v>
      </c>
      <c r="I115" s="37">
        <f t="shared" si="24"/>
        <v>9.4726528284671527</v>
      </c>
      <c r="J115" s="34">
        <f t="shared" si="20"/>
        <v>9.8813470309638163</v>
      </c>
      <c r="L115" s="55"/>
      <c r="M115" s="55"/>
      <c r="N115" s="55"/>
      <c r="O115" s="55"/>
      <c r="P115" s="56"/>
      <c r="Q115" s="56"/>
      <c r="R115" s="56"/>
      <c r="S115" s="56"/>
    </row>
    <row r="116" spans="2:23" x14ac:dyDescent="0.25">
      <c r="B116" s="35">
        <v>104</v>
      </c>
      <c r="C116" s="36">
        <f t="shared" si="18"/>
        <v>47966</v>
      </c>
      <c r="D116" s="31">
        <v>47968</v>
      </c>
      <c r="E116" s="37">
        <f t="shared" si="19"/>
        <v>1.040312904357499</v>
      </c>
      <c r="F116" s="37">
        <f t="shared" si="23"/>
        <v>-0.45563364430206454</v>
      </c>
      <c r="G116" s="37">
        <f t="shared" si="25"/>
        <v>0.77710220879240899</v>
      </c>
      <c r="H116" s="37">
        <f t="shared" si="26"/>
        <v>2.90735751619119</v>
      </c>
      <c r="I116" s="37">
        <f t="shared" si="24"/>
        <v>9.4766902372262773</v>
      </c>
      <c r="J116" s="34">
        <f t="shared" si="20"/>
        <v>9.889388763116516</v>
      </c>
      <c r="L116" s="55"/>
      <c r="M116" s="55"/>
      <c r="N116" s="55"/>
      <c r="O116" s="55"/>
      <c r="P116" s="56"/>
      <c r="Q116" s="56"/>
      <c r="R116" s="56"/>
      <c r="S116" s="56"/>
    </row>
    <row r="117" spans="2:23" x14ac:dyDescent="0.25">
      <c r="B117" s="35">
        <v>105</v>
      </c>
      <c r="C117" s="36">
        <f t="shared" si="18"/>
        <v>47997</v>
      </c>
      <c r="D117" s="31">
        <v>47999</v>
      </c>
      <c r="E117" s="37">
        <f t="shared" si="19"/>
        <v>1.0403257130244079</v>
      </c>
      <c r="F117" s="37">
        <f t="shared" si="23"/>
        <v>-0.45135611974584633</v>
      </c>
      <c r="G117" s="37">
        <f t="shared" si="25"/>
        <v>0.77526545774957456</v>
      </c>
      <c r="H117" s="37">
        <f t="shared" si="26"/>
        <v>2.9061829991986543</v>
      </c>
      <c r="I117" s="37">
        <f t="shared" si="24"/>
        <v>9.4808622262773738</v>
      </c>
      <c r="J117" s="34">
        <f t="shared" si="20"/>
        <v>9.8974290961594136</v>
      </c>
      <c r="L117" s="55"/>
      <c r="M117" s="55"/>
      <c r="N117" s="55"/>
      <c r="O117" s="55"/>
      <c r="P117" s="56"/>
      <c r="Q117" s="56"/>
      <c r="R117" s="56"/>
      <c r="S117" s="56"/>
    </row>
    <row r="118" spans="2:23" x14ac:dyDescent="0.25">
      <c r="B118" s="35">
        <v>106</v>
      </c>
      <c r="C118" s="36">
        <f t="shared" si="18"/>
        <v>48027</v>
      </c>
      <c r="D118" s="31">
        <v>48029</v>
      </c>
      <c r="E118" s="37">
        <f t="shared" si="19"/>
        <v>1.0403309114839125</v>
      </c>
      <c r="F118" s="37">
        <f t="shared" si="23"/>
        <v>-0.44721657985273194</v>
      </c>
      <c r="G118" s="37">
        <f t="shared" si="25"/>
        <v>0.77349355967211453</v>
      </c>
      <c r="H118" s="37">
        <f t="shared" si="26"/>
        <v>2.9050463698510396</v>
      </c>
      <c r="I118" s="37">
        <f t="shared" si="24"/>
        <v>9.4848996350364967</v>
      </c>
      <c r="J118" s="34">
        <f t="shared" si="20"/>
        <v>9.905467977730769</v>
      </c>
      <c r="L118" s="55"/>
      <c r="M118" s="55"/>
      <c r="N118" s="55"/>
      <c r="O118" s="55"/>
      <c r="P118" s="56"/>
      <c r="Q118" s="56"/>
      <c r="R118" s="56"/>
      <c r="S118" s="56"/>
    </row>
    <row r="119" spans="2:23" x14ac:dyDescent="0.25">
      <c r="B119" s="35">
        <v>107</v>
      </c>
      <c r="C119" s="36">
        <f t="shared" si="18"/>
        <v>48058</v>
      </c>
      <c r="D119" s="31">
        <v>48060</v>
      </c>
      <c r="E119" s="37">
        <f t="shared" si="19"/>
        <v>1.0403288461860158</v>
      </c>
      <c r="F119" s="37">
        <f t="shared" si="23"/>
        <v>-0.44293905529651378</v>
      </c>
      <c r="G119" s="37">
        <f t="shared" si="25"/>
        <v>0.77166836739288469</v>
      </c>
      <c r="H119" s="37">
        <f t="shared" si="26"/>
        <v>2.9038718528585044</v>
      </c>
      <c r="I119" s="37">
        <f t="shared" si="24"/>
        <v>9.4890716240875914</v>
      </c>
      <c r="J119" s="34">
        <f t="shared" si="20"/>
        <v>9.9135054670856562</v>
      </c>
      <c r="L119" s="55"/>
      <c r="M119" s="55"/>
      <c r="N119" s="55"/>
      <c r="O119" s="55"/>
      <c r="P119" s="56"/>
      <c r="Q119" s="56"/>
      <c r="R119" s="56"/>
      <c r="S119" s="56"/>
    </row>
    <row r="120" spans="2:23" x14ac:dyDescent="0.25">
      <c r="B120" s="35">
        <v>108</v>
      </c>
      <c r="C120" s="36">
        <f t="shared" si="18"/>
        <v>48087</v>
      </c>
      <c r="D120" s="31">
        <v>48089</v>
      </c>
      <c r="E120" s="37">
        <f t="shared" si="19"/>
        <v>1.0403200709939864</v>
      </c>
      <c r="F120" s="37">
        <f t="shared" si="23"/>
        <v>-0.43893750006650323</v>
      </c>
      <c r="G120" s="37">
        <f t="shared" si="25"/>
        <v>0.76996621935453102</v>
      </c>
      <c r="H120" s="37">
        <f>Rates!G29</f>
        <v>2.9027731111558102</v>
      </c>
      <c r="I120" s="37">
        <f t="shared" si="24"/>
        <v>9.4929744525547441</v>
      </c>
      <c r="J120" s="34">
        <f t="shared" si="20"/>
        <v>9.9214097712003007</v>
      </c>
      <c r="L120" s="55"/>
      <c r="M120" s="55"/>
      <c r="N120" s="55"/>
      <c r="O120" s="55"/>
      <c r="P120" s="56"/>
      <c r="Q120" s="56"/>
      <c r="R120" s="56"/>
      <c r="S120" s="56"/>
    </row>
    <row r="121" spans="2:23" x14ac:dyDescent="0.25">
      <c r="B121" s="35">
        <v>109</v>
      </c>
      <c r="C121" s="36">
        <f t="shared" si="18"/>
        <v>48119</v>
      </c>
      <c r="D121" s="31">
        <v>48121</v>
      </c>
      <c r="E121" s="37">
        <f t="shared" si="19"/>
        <v>1.0403027113292944</v>
      </c>
      <c r="F121" s="37">
        <f t="shared" si="23"/>
        <v>-0.43452199084718113</v>
      </c>
      <c r="G121" s="37">
        <f t="shared" si="25"/>
        <v>0.76800849910351632</v>
      </c>
      <c r="H121" s="37">
        <f t="shared" ref="H121:H126" si="27">($H$120*($D$127-D121)+$H$127*(D121-$D$120))/($D$127-$D$120)</f>
        <v>2.9027835180612094</v>
      </c>
      <c r="I121" s="37">
        <f t="shared" si="24"/>
        <v>9.4972810218978108</v>
      </c>
      <c r="J121" s="34">
        <f t="shared" si="20"/>
        <v>9.9294444816398197</v>
      </c>
      <c r="L121" s="55"/>
      <c r="M121" s="55"/>
      <c r="N121" s="55"/>
      <c r="O121" s="55"/>
      <c r="P121" s="56"/>
      <c r="Q121" s="56"/>
      <c r="R121" s="56"/>
      <c r="S121" s="56"/>
    </row>
    <row r="122" spans="2:23" x14ac:dyDescent="0.25">
      <c r="B122" s="35">
        <v>110</v>
      </c>
      <c r="C122" s="36">
        <f t="shared" si="18"/>
        <v>48150</v>
      </c>
      <c r="D122" s="31">
        <v>48152</v>
      </c>
      <c r="E122" s="37">
        <f t="shared" si="19"/>
        <v>1.0402782138983644</v>
      </c>
      <c r="F122" s="37">
        <f t="shared" si="23"/>
        <v>-0.43024446629096297</v>
      </c>
      <c r="G122" s="37">
        <f t="shared" si="25"/>
        <v>0.76611669121514969</v>
      </c>
      <c r="H122" s="37">
        <f t="shared" si="27"/>
        <v>2.9027935997508147</v>
      </c>
      <c r="I122" s="37">
        <f t="shared" si="24"/>
        <v>9.5014530109489055</v>
      </c>
      <c r="J122" s="34">
        <f t="shared" si="20"/>
        <v>9.9377410878342403</v>
      </c>
      <c r="L122" s="55"/>
      <c r="M122" s="55"/>
      <c r="N122" s="55"/>
      <c r="O122" s="55"/>
      <c r="P122" s="56"/>
      <c r="Q122" s="56"/>
      <c r="R122" s="56"/>
      <c r="S122" s="56"/>
    </row>
    <row r="123" spans="2:23" x14ac:dyDescent="0.25">
      <c r="B123" s="35">
        <v>111</v>
      </c>
      <c r="C123" s="36">
        <f t="shared" si="18"/>
        <v>48180</v>
      </c>
      <c r="D123" s="31">
        <v>48182</v>
      </c>
      <c r="E123" s="37">
        <f t="shared" si="19"/>
        <v>1.0402473106600107</v>
      </c>
      <c r="F123" s="37">
        <f t="shared" si="23"/>
        <v>-0.42610492639784858</v>
      </c>
      <c r="G123" s="37">
        <f t="shared" si="25"/>
        <v>0.76429033400563795</v>
      </c>
      <c r="H123" s="37">
        <f t="shared" si="27"/>
        <v>2.9028033562246267</v>
      </c>
      <c r="I123" s="37">
        <f t="shared" si="24"/>
        <v>9.5054904197080283</v>
      </c>
      <c r="J123" s="34">
        <f t="shared" si="20"/>
        <v>9.9457728803248315</v>
      </c>
      <c r="L123" s="55"/>
      <c r="M123" s="55"/>
      <c r="N123" s="55"/>
      <c r="O123" s="55"/>
      <c r="P123" s="56"/>
      <c r="Q123" s="56"/>
      <c r="R123" s="56"/>
      <c r="S123" s="56"/>
    </row>
    <row r="124" spans="2:23" x14ac:dyDescent="0.25">
      <c r="B124" s="35">
        <v>112</v>
      </c>
      <c r="C124" s="36">
        <f t="shared" si="18"/>
        <v>48211</v>
      </c>
      <c r="D124" s="31">
        <v>48213</v>
      </c>
      <c r="E124" s="37">
        <f t="shared" si="19"/>
        <v>1.0402079420757973</v>
      </c>
      <c r="F124" s="37">
        <f t="shared" si="23"/>
        <v>-0.42182740184163037</v>
      </c>
      <c r="G124" s="37">
        <f t="shared" si="25"/>
        <v>0.7624076592490886</v>
      </c>
      <c r="H124" s="37">
        <f t="shared" si="27"/>
        <v>2.9028134379142316</v>
      </c>
      <c r="I124" s="37">
        <f t="shared" si="24"/>
        <v>9.5096624087591248</v>
      </c>
      <c r="J124" s="34">
        <f t="shared" si="20"/>
        <v>9.9538032976809774</v>
      </c>
      <c r="L124" s="55"/>
      <c r="M124" s="55"/>
      <c r="N124" s="55"/>
      <c r="O124" s="55"/>
      <c r="P124" s="56"/>
      <c r="Q124" s="56"/>
      <c r="R124" s="56"/>
      <c r="S124" s="56"/>
    </row>
    <row r="125" spans="2:23" x14ac:dyDescent="0.25">
      <c r="B125" s="35">
        <v>113</v>
      </c>
      <c r="C125" s="36">
        <f t="shared" si="18"/>
        <v>48242</v>
      </c>
      <c r="D125" s="31">
        <v>48244</v>
      </c>
      <c r="E125" s="37">
        <f t="shared" si="19"/>
        <v>1.0401610172146989</v>
      </c>
      <c r="F125" s="37">
        <f t="shared" si="23"/>
        <v>-0.41754987728541215</v>
      </c>
      <c r="G125" s="37">
        <f t="shared" si="25"/>
        <v>0.76052960905715183</v>
      </c>
      <c r="H125" s="37">
        <f t="shared" si="27"/>
        <v>2.9028235196038374</v>
      </c>
      <c r="I125" s="37">
        <f t="shared" si="24"/>
        <v>9.5138343978102196</v>
      </c>
      <c r="J125" s="34">
        <f t="shared" si="20"/>
        <v>9.9619639130123918</v>
      </c>
      <c r="L125" s="55"/>
      <c r="M125" s="55"/>
      <c r="N125" s="55"/>
      <c r="O125" s="55"/>
      <c r="P125" s="56"/>
      <c r="Q125" s="56"/>
      <c r="R125" s="56"/>
      <c r="S125" s="56"/>
    </row>
    <row r="126" spans="2:23" x14ac:dyDescent="0.25">
      <c r="B126" s="35">
        <v>114</v>
      </c>
      <c r="C126" s="36">
        <f t="shared" si="18"/>
        <v>48271</v>
      </c>
      <c r="D126" s="31">
        <v>48273</v>
      </c>
      <c r="E126" s="37">
        <f t="shared" si="19"/>
        <v>1.0401102799174953</v>
      </c>
      <c r="F126" s="37">
        <f t="shared" si="23"/>
        <v>-0.41354832205540154</v>
      </c>
      <c r="G126" s="37">
        <f t="shared" si="25"/>
        <v>0.75877690000957432</v>
      </c>
      <c r="H126" s="37">
        <f t="shared" si="27"/>
        <v>2.9028329508618556</v>
      </c>
      <c r="I126" s="37">
        <f t="shared" si="24"/>
        <v>9.5177372262773723</v>
      </c>
      <c r="J126" s="34">
        <f>((I126^2*(C126-$C$12)-I125^2*(C125-$C$12))/(C126-C125))^0.5</f>
        <v>9.969859882211578</v>
      </c>
      <c r="L126" s="55"/>
      <c r="M126" s="55"/>
      <c r="N126" s="55"/>
      <c r="O126" s="55"/>
      <c r="P126" s="56"/>
      <c r="Q126" s="56"/>
      <c r="R126" s="56"/>
      <c r="S126" s="56"/>
    </row>
    <row r="127" spans="2:23" ht="15" x14ac:dyDescent="0.25">
      <c r="B127" s="38"/>
      <c r="C127" s="39"/>
      <c r="D127" s="40">
        <v>48457</v>
      </c>
      <c r="E127" s="41">
        <f t="shared" si="19"/>
        <v>1.0396343729718995</v>
      </c>
      <c r="F127" s="41">
        <f>Rates!N30</f>
        <v>-0.38815914404430002</v>
      </c>
      <c r="G127" s="41">
        <f t="shared" si="25"/>
        <v>0.74774973519831989</v>
      </c>
      <c r="H127" s="41">
        <f>Rates!G30</f>
        <v>2.9028927905679001</v>
      </c>
      <c r="I127" s="42">
        <f>Vols!E13</f>
        <v>9.5425000000000004</v>
      </c>
      <c r="J127" s="43"/>
      <c r="L127" s="55">
        <f t="shared" ref="L127:R127" si="28">SUM(L13:L126)</f>
        <v>120687180.81576613</v>
      </c>
      <c r="M127" s="55">
        <f t="shared" si="28"/>
        <v>0</v>
      </c>
      <c r="N127" s="55">
        <f t="shared" si="28"/>
        <v>0</v>
      </c>
      <c r="O127" s="55">
        <f t="shared" si="28"/>
        <v>-84734803.903105333</v>
      </c>
      <c r="P127" s="57">
        <f t="shared" si="28"/>
        <v>127020233.44258346</v>
      </c>
      <c r="Q127" s="57">
        <f t="shared" si="28"/>
        <v>0</v>
      </c>
      <c r="R127" s="57">
        <f t="shared" si="28"/>
        <v>0</v>
      </c>
      <c r="S127" s="57">
        <f t="shared" ref="S127" si="29">SUM(S13:S126)</f>
        <v>-82111427.314615414</v>
      </c>
      <c r="W127" s="4"/>
    </row>
    <row r="131" spans="1:8" x14ac:dyDescent="0.25">
      <c r="A131" s="9"/>
      <c r="B131" s="9"/>
      <c r="C131" s="9"/>
      <c r="D131" s="9"/>
      <c r="E131" s="9"/>
      <c r="F131" s="9"/>
      <c r="G131" s="9"/>
      <c r="H131" s="9"/>
    </row>
    <row r="132" spans="1:8" x14ac:dyDescent="0.25">
      <c r="A132" s="9"/>
      <c r="B132" s="9"/>
      <c r="C132" s="9"/>
      <c r="D132" s="9"/>
      <c r="E132" s="9"/>
      <c r="F132" s="9"/>
      <c r="G132" s="9"/>
      <c r="H132" s="9"/>
    </row>
    <row r="133" spans="1:8" x14ac:dyDescent="0.25">
      <c r="A133" s="9"/>
      <c r="B133" s="9"/>
      <c r="C133" s="9"/>
      <c r="D133" s="9"/>
      <c r="E133" s="9"/>
      <c r="F133" s="9"/>
      <c r="G133" s="9"/>
      <c r="H133" s="9"/>
    </row>
    <row r="134" spans="1:8" x14ac:dyDescent="0.25">
      <c r="A134" s="9"/>
      <c r="B134" s="9"/>
      <c r="C134" s="9"/>
      <c r="D134" s="9"/>
      <c r="E134" s="9"/>
      <c r="F134" s="9"/>
      <c r="G134" s="9"/>
      <c r="H134" s="9"/>
    </row>
    <row r="135" spans="1:8" x14ac:dyDescent="0.25">
      <c r="A135" s="9"/>
      <c r="B135" s="9"/>
      <c r="C135" s="9"/>
      <c r="D135" s="9"/>
      <c r="E135" s="9"/>
      <c r="F135" s="9"/>
      <c r="G135" s="9"/>
      <c r="H135" s="9"/>
    </row>
    <row r="136" spans="1:8" x14ac:dyDescent="0.25">
      <c r="A136" s="9"/>
      <c r="B136" s="9"/>
      <c r="C136" s="9"/>
      <c r="D136" s="9"/>
      <c r="E136" s="9"/>
      <c r="F136" s="9"/>
      <c r="G136" s="9"/>
      <c r="H136" s="9"/>
    </row>
    <row r="137" spans="1:8" x14ac:dyDescent="0.25">
      <c r="A137" s="9"/>
      <c r="B137" s="9"/>
      <c r="C137" s="9"/>
      <c r="D137" s="9"/>
      <c r="E137" s="9"/>
      <c r="F137" s="9"/>
      <c r="G137" s="9"/>
      <c r="H137" s="9"/>
    </row>
    <row r="138" spans="1:8" x14ac:dyDescent="0.25">
      <c r="A138" s="9"/>
      <c r="B138" s="9"/>
      <c r="C138" s="9"/>
      <c r="D138" s="9"/>
      <c r="E138" s="9"/>
      <c r="F138" s="9"/>
      <c r="G138" s="9"/>
      <c r="H138" s="9"/>
    </row>
    <row r="139" spans="1:8" x14ac:dyDescent="0.25">
      <c r="A139" s="9"/>
      <c r="B139" s="9"/>
      <c r="C139" s="9"/>
      <c r="D139" s="9"/>
      <c r="E139" s="9"/>
      <c r="F139" s="9"/>
      <c r="G139" s="9"/>
      <c r="H139" s="9"/>
    </row>
    <row r="140" spans="1:8" x14ac:dyDescent="0.25">
      <c r="A140" s="9"/>
      <c r="B140" s="9"/>
      <c r="C140" s="9"/>
      <c r="D140" s="9"/>
      <c r="E140" s="9"/>
      <c r="F140" s="9"/>
      <c r="G140" s="9"/>
      <c r="H140" s="9"/>
    </row>
    <row r="141" spans="1:8" x14ac:dyDescent="0.25">
      <c r="A141" s="9"/>
      <c r="B141" s="9"/>
      <c r="C141" s="9"/>
      <c r="D141" s="9"/>
      <c r="E141" s="9"/>
      <c r="F141" s="9"/>
      <c r="G141" s="9"/>
      <c r="H141" s="9"/>
    </row>
    <row r="142" spans="1:8" x14ac:dyDescent="0.25">
      <c r="A142" s="9"/>
      <c r="B142" s="9"/>
      <c r="C142" s="9"/>
      <c r="D142" s="9"/>
      <c r="E142" s="9"/>
      <c r="F142" s="9"/>
      <c r="G142" s="9"/>
      <c r="H142" s="9"/>
    </row>
    <row r="143" spans="1:8" x14ac:dyDescent="0.25">
      <c r="A143" s="9"/>
      <c r="B143" s="9"/>
      <c r="C143" s="9"/>
      <c r="D143" s="9"/>
      <c r="E143" s="9"/>
      <c r="F143" s="9"/>
      <c r="G143" s="9"/>
      <c r="H143" s="9"/>
    </row>
    <row r="144" spans="1:8" x14ac:dyDescent="0.25">
      <c r="A144" s="9"/>
      <c r="B144" s="9"/>
      <c r="C144" s="9"/>
      <c r="D144" s="9"/>
      <c r="E144" s="9"/>
      <c r="F144" s="9"/>
      <c r="G144" s="9"/>
      <c r="H144" s="9"/>
    </row>
    <row r="145" spans="1:8" x14ac:dyDescent="0.25">
      <c r="A145" s="9"/>
      <c r="B145" s="9"/>
      <c r="C145" s="9"/>
      <c r="D145" s="9"/>
      <c r="E145" s="9"/>
      <c r="F145" s="9"/>
      <c r="G145" s="9"/>
      <c r="H145" s="9"/>
    </row>
    <row r="146" spans="1:8" x14ac:dyDescent="0.25">
      <c r="A146" s="9"/>
      <c r="B146" s="9"/>
      <c r="C146" s="9"/>
      <c r="D146" s="9"/>
      <c r="E146" s="9"/>
      <c r="F146" s="9"/>
      <c r="G146" s="9"/>
      <c r="H146" s="9"/>
    </row>
    <row r="147" spans="1:8" x14ac:dyDescent="0.25">
      <c r="A147" s="9"/>
      <c r="B147" s="9"/>
      <c r="C147" s="9"/>
      <c r="D147" s="9"/>
      <c r="E147" s="9"/>
      <c r="F147" s="9"/>
      <c r="G147" s="9"/>
      <c r="H147" s="9"/>
    </row>
    <row r="148" spans="1:8" x14ac:dyDescent="0.25">
      <c r="A148" s="9"/>
      <c r="B148" s="9"/>
      <c r="C148" s="9"/>
      <c r="D148" s="9"/>
      <c r="E148" s="9"/>
      <c r="F148" s="9"/>
      <c r="G148" s="9"/>
      <c r="H148" s="9"/>
    </row>
  </sheetData>
  <mergeCells count="18">
    <mergeCell ref="C2:E2"/>
    <mergeCell ref="M12:N12"/>
    <mergeCell ref="Q12:R12"/>
    <mergeCell ref="L10:N11"/>
    <mergeCell ref="O10:O11"/>
    <mergeCell ref="L5:M6"/>
    <mergeCell ref="L7:M8"/>
    <mergeCell ref="N7:N8"/>
    <mergeCell ref="S10:S11"/>
    <mergeCell ref="P10:R11"/>
    <mergeCell ref="Q5:Q6"/>
    <mergeCell ref="F2:G2"/>
    <mergeCell ref="H2:I2"/>
    <mergeCell ref="N5:N6"/>
    <mergeCell ref="O7:O8"/>
    <mergeCell ref="P7:Q8"/>
    <mergeCell ref="R7:R8"/>
    <mergeCell ref="P5:P6"/>
  </mergeCells>
  <phoneticPr fontId="1" type="noConversion"/>
  <conditionalFormatting sqref="K1">
    <cfRule type="cellIs" dxfId="0" priority="1" operator="greaterThan">
      <formula>30000000</formula>
    </cfRule>
  </conditionalFormatting>
  <dataValidations count="2">
    <dataValidation type="list" allowBlank="1" showInputMessage="1" showErrorMessage="1" sqref="O2">
      <formula1>"YES,NO"</formula1>
    </dataValidation>
    <dataValidation type="whole" operator="greaterThanOrEqual" allowBlank="1" showInputMessage="1" showErrorMessage="1" sqref="B4 B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RF">
                <anchor moveWithCells="1" sizeWithCells="1">
                  <from>
                    <xdr:col>15</xdr:col>
                    <xdr:colOff>28575</xdr:colOff>
                    <xdr:row>9</xdr:row>
                    <xdr:rowOff>9525</xdr:rowOff>
                  </from>
                  <to>
                    <xdr:col>17</xdr:col>
                    <xdr:colOff>1257300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2:N36"/>
  <sheetViews>
    <sheetView zoomScale="78" zoomScaleNormal="78" workbookViewId="0">
      <selection activeCell="C22" sqref="C22"/>
    </sheetView>
  </sheetViews>
  <sheetFormatPr defaultRowHeight="16.5" x14ac:dyDescent="0.25"/>
  <cols>
    <col min="2" max="2" width="9.5" bestFit="1" customWidth="1"/>
    <col min="3" max="3" width="14" bestFit="1" customWidth="1"/>
    <col min="4" max="4" width="10.5" bestFit="1" customWidth="1"/>
    <col min="5" max="5" width="4.625" bestFit="1" customWidth="1"/>
    <col min="6" max="7" width="9.25" bestFit="1" customWidth="1"/>
    <col min="9" max="9" width="10.75" bestFit="1" customWidth="1"/>
    <col min="10" max="10" width="17.875" bestFit="1" customWidth="1"/>
    <col min="11" max="11" width="12" bestFit="1" customWidth="1"/>
    <col min="13" max="14" width="9.25" bestFit="1" customWidth="1"/>
  </cols>
  <sheetData>
    <row r="2" spans="2:14" x14ac:dyDescent="0.25">
      <c r="H2" s="4"/>
    </row>
    <row r="4" spans="2:14" x14ac:dyDescent="0.25">
      <c r="B4" s="1">
        <v>44802</v>
      </c>
      <c r="C4" s="1" t="s">
        <v>16</v>
      </c>
      <c r="D4" s="1">
        <v>44803</v>
      </c>
      <c r="E4" s="2" t="s">
        <v>17</v>
      </c>
      <c r="F4" s="3">
        <v>0.999936670677533</v>
      </c>
      <c r="G4" s="2">
        <v>2.3115934669784601</v>
      </c>
      <c r="H4" s="4"/>
      <c r="I4" s="5">
        <v>44802</v>
      </c>
      <c r="J4" s="4" t="s">
        <v>45</v>
      </c>
      <c r="K4" s="5">
        <v>44803</v>
      </c>
      <c r="L4" s="4" t="s">
        <v>17</v>
      </c>
      <c r="M4" s="4">
        <v>1.0000051494917901</v>
      </c>
      <c r="N4" s="4">
        <v>-0.18795596657439101</v>
      </c>
    </row>
    <row r="5" spans="2:14" x14ac:dyDescent="0.25">
      <c r="B5" s="1">
        <v>44803</v>
      </c>
      <c r="C5" s="1" t="s">
        <v>16</v>
      </c>
      <c r="D5" s="1">
        <v>44804</v>
      </c>
      <c r="E5" s="2" t="s">
        <v>18</v>
      </c>
      <c r="F5" s="3">
        <v>0.99987334536565997</v>
      </c>
      <c r="G5" s="2">
        <v>2.3115934671460101</v>
      </c>
      <c r="H5" s="4"/>
      <c r="I5" s="5">
        <v>44803</v>
      </c>
      <c r="J5" s="4" t="s">
        <v>45</v>
      </c>
      <c r="K5" s="5">
        <v>44804</v>
      </c>
      <c r="L5" s="4" t="s">
        <v>18</v>
      </c>
      <c r="M5" s="4">
        <v>1.0000117458359401</v>
      </c>
      <c r="N5" s="4">
        <v>-0.214360247008066</v>
      </c>
    </row>
    <row r="6" spans="2:14" x14ac:dyDescent="0.25">
      <c r="B6" s="4"/>
      <c r="C6" s="4"/>
      <c r="D6" s="4"/>
      <c r="E6" s="4"/>
      <c r="F6" s="4"/>
      <c r="G6" s="4"/>
      <c r="H6" s="4"/>
      <c r="I6" s="5">
        <v>44804</v>
      </c>
      <c r="J6" s="4" t="s">
        <v>46</v>
      </c>
      <c r="K6" s="5">
        <v>44811</v>
      </c>
      <c r="L6" s="4" t="s">
        <v>47</v>
      </c>
      <c r="M6" s="4">
        <v>1.00006028145323</v>
      </c>
      <c r="N6" s="4">
        <v>-0.244467414216612</v>
      </c>
    </row>
    <row r="7" spans="2:14" x14ac:dyDescent="0.25">
      <c r="B7" s="1">
        <v>44804</v>
      </c>
      <c r="C7" s="1" t="s">
        <v>19</v>
      </c>
      <c r="D7" s="1">
        <v>44818</v>
      </c>
      <c r="E7" s="2" t="s">
        <v>20</v>
      </c>
      <c r="F7" s="3">
        <v>0.99898229755545398</v>
      </c>
      <c r="G7" s="2">
        <v>2.32281587023687</v>
      </c>
      <c r="H7" s="4"/>
      <c r="I7" s="5">
        <v>44804</v>
      </c>
      <c r="J7" s="4" t="s">
        <v>46</v>
      </c>
      <c r="K7" s="5">
        <v>44818</v>
      </c>
      <c r="L7" s="4" t="s">
        <v>20</v>
      </c>
      <c r="M7" s="4">
        <v>1.00010618866363</v>
      </c>
      <c r="N7" s="4">
        <v>-0.242230028132636</v>
      </c>
    </row>
    <row r="8" spans="2:14" x14ac:dyDescent="0.25">
      <c r="B8" s="4"/>
      <c r="C8" s="4"/>
      <c r="D8" s="4"/>
      <c r="E8" s="4"/>
      <c r="F8" s="4"/>
      <c r="G8" s="4"/>
      <c r="H8" s="4"/>
      <c r="I8" s="5">
        <v>44804</v>
      </c>
      <c r="J8" s="4" t="s">
        <v>46</v>
      </c>
      <c r="K8" s="5">
        <v>44825</v>
      </c>
      <c r="L8" s="4" t="s">
        <v>48</v>
      </c>
      <c r="M8" s="4">
        <v>1.0001103279110899</v>
      </c>
      <c r="N8" s="4">
        <v>-0.175075940362175</v>
      </c>
    </row>
    <row r="9" spans="2:14" x14ac:dyDescent="0.25">
      <c r="B9" s="1">
        <v>44804</v>
      </c>
      <c r="C9" s="1" t="s">
        <v>19</v>
      </c>
      <c r="D9" s="1">
        <v>44834</v>
      </c>
      <c r="E9" s="2" t="s">
        <v>21</v>
      </c>
      <c r="F9" s="3">
        <v>0.99782564084637004</v>
      </c>
      <c r="G9" s="2">
        <v>2.4828286698576201</v>
      </c>
      <c r="H9" s="4"/>
      <c r="I9" s="5">
        <v>44804</v>
      </c>
      <c r="J9" s="4" t="s">
        <v>45</v>
      </c>
      <c r="K9" s="5">
        <v>44834</v>
      </c>
      <c r="L9" s="4" t="s">
        <v>21</v>
      </c>
      <c r="M9" s="4">
        <v>1.00024461270087</v>
      </c>
      <c r="N9" s="4">
        <v>-0.27897724267122198</v>
      </c>
    </row>
    <row r="10" spans="2:14" x14ac:dyDescent="0.25">
      <c r="B10" s="1">
        <v>44804</v>
      </c>
      <c r="C10" s="1" t="s">
        <v>19</v>
      </c>
      <c r="D10" s="1">
        <v>44865</v>
      </c>
      <c r="E10" s="2" t="s">
        <v>22</v>
      </c>
      <c r="F10" s="3">
        <v>0.99528366386666001</v>
      </c>
      <c r="G10" s="2">
        <v>2.7389444389724802</v>
      </c>
      <c r="H10" s="4"/>
      <c r="I10" s="5">
        <v>44804</v>
      </c>
      <c r="J10" s="4" t="s">
        <v>45</v>
      </c>
      <c r="K10" s="5">
        <v>44865</v>
      </c>
      <c r="L10" s="4" t="s">
        <v>22</v>
      </c>
      <c r="M10" s="4">
        <v>1.00066171940999</v>
      </c>
      <c r="N10" s="4">
        <v>-0.38325033042774798</v>
      </c>
    </row>
    <row r="11" spans="2:14" x14ac:dyDescent="0.25">
      <c r="B11" s="1">
        <v>44804</v>
      </c>
      <c r="C11" s="1" t="s">
        <v>19</v>
      </c>
      <c r="D11" s="1">
        <v>44895</v>
      </c>
      <c r="E11" s="2" t="s">
        <v>23</v>
      </c>
      <c r="F11" s="3">
        <v>0.99249967653960702</v>
      </c>
      <c r="G11" s="2">
        <v>2.9547701066819201</v>
      </c>
      <c r="H11" s="4"/>
      <c r="I11" s="5">
        <v>44804</v>
      </c>
      <c r="J11" s="4" t="s">
        <v>45</v>
      </c>
      <c r="K11" s="5">
        <v>44895</v>
      </c>
      <c r="L11" s="4" t="s">
        <v>23</v>
      </c>
      <c r="M11" s="4">
        <v>1.0009678715646999</v>
      </c>
      <c r="N11" s="4">
        <v>-0.37967986010303301</v>
      </c>
    </row>
    <row r="12" spans="2:14" x14ac:dyDescent="0.25">
      <c r="B12" s="1">
        <v>44804</v>
      </c>
      <c r="C12" s="1" t="s">
        <v>19</v>
      </c>
      <c r="D12" s="1">
        <v>44925</v>
      </c>
      <c r="E12" s="2" t="s">
        <v>24</v>
      </c>
      <c r="F12" s="3">
        <v>0.98944548050210002</v>
      </c>
      <c r="G12" s="2">
        <v>3.14867798574004</v>
      </c>
      <c r="H12" s="4"/>
      <c r="I12" s="5">
        <v>44804</v>
      </c>
      <c r="J12" s="4" t="s">
        <v>45</v>
      </c>
      <c r="K12" s="5">
        <v>44925</v>
      </c>
      <c r="L12" s="4" t="s">
        <v>24</v>
      </c>
      <c r="M12" s="4">
        <v>1.00116063601953</v>
      </c>
      <c r="N12" s="4">
        <v>-0.34421666331887901</v>
      </c>
    </row>
    <row r="13" spans="2:14" x14ac:dyDescent="0.25">
      <c r="B13" s="1">
        <v>44804</v>
      </c>
      <c r="C13" s="1" t="s">
        <v>19</v>
      </c>
      <c r="D13" s="1">
        <v>44957</v>
      </c>
      <c r="E13" s="2" t="s">
        <v>25</v>
      </c>
      <c r="F13" s="3">
        <v>0.98639134841551701</v>
      </c>
      <c r="G13" s="2">
        <v>3.2266230870143202</v>
      </c>
      <c r="H13" s="4"/>
      <c r="I13" s="5">
        <v>44804</v>
      </c>
      <c r="J13" s="4" t="s">
        <v>45</v>
      </c>
      <c r="K13" s="5">
        <v>44957</v>
      </c>
      <c r="L13" s="4" t="s">
        <v>25</v>
      </c>
      <c r="M13" s="4">
        <v>1.0028043863523599</v>
      </c>
      <c r="N13" s="4">
        <v>-0.65946349042748997</v>
      </c>
    </row>
    <row r="14" spans="2:14" x14ac:dyDescent="0.25">
      <c r="B14" s="1">
        <v>44804</v>
      </c>
      <c r="C14" s="1" t="s">
        <v>19</v>
      </c>
      <c r="D14" s="1">
        <v>44985</v>
      </c>
      <c r="E14" s="2" t="s">
        <v>26</v>
      </c>
      <c r="F14" s="3">
        <v>0.98349081702987595</v>
      </c>
      <c r="G14" s="2">
        <v>3.3202989366176099</v>
      </c>
      <c r="H14" s="4"/>
      <c r="I14" s="5">
        <v>44804</v>
      </c>
      <c r="J14" s="4" t="s">
        <v>45</v>
      </c>
      <c r="K14" s="5">
        <v>44985</v>
      </c>
      <c r="L14" s="4" t="s">
        <v>26</v>
      </c>
      <c r="M14" s="4">
        <v>1.0031305384917699</v>
      </c>
      <c r="N14" s="4">
        <v>-0.623421707193756</v>
      </c>
    </row>
    <row r="15" spans="2:14" x14ac:dyDescent="0.25">
      <c r="B15" s="4"/>
      <c r="C15" s="4"/>
      <c r="D15" s="4"/>
      <c r="E15" s="4"/>
      <c r="F15" s="4"/>
      <c r="G15" s="4"/>
      <c r="H15" s="4"/>
      <c r="I15" s="5">
        <v>44804</v>
      </c>
      <c r="J15" s="4" t="s">
        <v>45</v>
      </c>
      <c r="K15" s="5">
        <v>45016</v>
      </c>
      <c r="L15" s="4" t="s">
        <v>49</v>
      </c>
      <c r="M15" s="4">
        <v>1.0035876353400801</v>
      </c>
      <c r="N15" s="4">
        <v>-0.61081472976494899</v>
      </c>
    </row>
    <row r="16" spans="2:14" x14ac:dyDescent="0.25">
      <c r="B16" s="4"/>
      <c r="C16" s="4"/>
      <c r="D16" s="4"/>
      <c r="E16" s="4"/>
      <c r="F16" s="4"/>
      <c r="G16" s="4"/>
      <c r="H16" s="4"/>
      <c r="I16" s="5">
        <v>44804</v>
      </c>
      <c r="J16" s="4" t="s">
        <v>45</v>
      </c>
      <c r="K16" s="5">
        <v>45044</v>
      </c>
      <c r="L16" s="4" t="s">
        <v>50</v>
      </c>
      <c r="M16" s="4">
        <v>1.00410979773242</v>
      </c>
      <c r="N16" s="4">
        <v>-0.61859590389399999</v>
      </c>
    </row>
    <row r="17" spans="2:14" x14ac:dyDescent="0.25">
      <c r="B17" s="1">
        <v>44804</v>
      </c>
      <c r="C17" s="1" t="s">
        <v>19</v>
      </c>
      <c r="D17" s="1">
        <v>45077</v>
      </c>
      <c r="E17" s="2" t="s">
        <v>27</v>
      </c>
      <c r="F17" s="3">
        <v>0.97391471981517796</v>
      </c>
      <c r="G17" s="2">
        <v>3.5081856653290102</v>
      </c>
      <c r="H17" s="4"/>
      <c r="I17" s="5">
        <v>44804</v>
      </c>
      <c r="J17" s="4" t="s">
        <v>45</v>
      </c>
      <c r="K17" s="5">
        <v>45077</v>
      </c>
      <c r="L17" s="4" t="s">
        <v>27</v>
      </c>
      <c r="M17" s="4">
        <v>1.00445621563565</v>
      </c>
      <c r="N17" s="4">
        <v>-0.59014741045066399</v>
      </c>
    </row>
    <row r="18" spans="2:14" x14ac:dyDescent="0.25">
      <c r="B18" s="4"/>
      <c r="C18" s="4"/>
      <c r="D18" s="4"/>
      <c r="E18" s="4"/>
      <c r="F18" s="4"/>
      <c r="G18" s="4"/>
      <c r="H18" s="4"/>
      <c r="I18" s="5">
        <v>44804</v>
      </c>
      <c r="J18" s="4" t="s">
        <v>45</v>
      </c>
      <c r="K18" s="5">
        <v>45107</v>
      </c>
      <c r="L18" s="4" t="s">
        <v>51</v>
      </c>
      <c r="M18" s="4">
        <v>1.00498266232944</v>
      </c>
      <c r="N18" s="4">
        <v>-0.59480519067264004</v>
      </c>
    </row>
    <row r="19" spans="2:14" x14ac:dyDescent="0.25">
      <c r="B19" s="4"/>
      <c r="C19" s="4"/>
      <c r="D19" s="4"/>
      <c r="E19" s="4"/>
      <c r="F19" s="4"/>
      <c r="G19" s="4"/>
      <c r="H19" s="4"/>
      <c r="I19" s="5">
        <v>44804</v>
      </c>
      <c r="J19" s="4" t="s">
        <v>45</v>
      </c>
      <c r="K19" s="5">
        <v>45138</v>
      </c>
      <c r="L19" s="4" t="s">
        <v>52</v>
      </c>
      <c r="M19" s="4">
        <v>1.00559166381027</v>
      </c>
      <c r="N19" s="4">
        <v>-0.60573580358911105</v>
      </c>
    </row>
    <row r="20" spans="2:14" x14ac:dyDescent="0.25">
      <c r="B20" s="1">
        <v>44804</v>
      </c>
      <c r="C20" s="1" t="s">
        <v>19</v>
      </c>
      <c r="D20" s="1">
        <v>45169</v>
      </c>
      <c r="E20" s="2" t="s">
        <v>28</v>
      </c>
      <c r="F20" s="3">
        <v>0.96459709191172005</v>
      </c>
      <c r="G20" s="2">
        <v>3.5848356817261</v>
      </c>
      <c r="H20" s="4"/>
      <c r="I20" s="5">
        <v>44804</v>
      </c>
      <c r="J20" s="4" t="s">
        <v>45</v>
      </c>
      <c r="K20" s="5">
        <v>45169</v>
      </c>
      <c r="L20" s="4" t="s">
        <v>28</v>
      </c>
      <c r="M20" s="4">
        <v>1.0060091893473</v>
      </c>
      <c r="N20" s="4">
        <v>-0.59585565518139205</v>
      </c>
    </row>
    <row r="21" spans="2:14" x14ac:dyDescent="0.25">
      <c r="B21" s="1">
        <v>44804</v>
      </c>
      <c r="C21" s="1" t="s">
        <v>19</v>
      </c>
      <c r="D21" s="1">
        <v>45350</v>
      </c>
      <c r="E21" s="2" t="s">
        <v>29</v>
      </c>
      <c r="F21" s="3">
        <v>0.94729230281903098</v>
      </c>
      <c r="G21" s="2">
        <v>3.6065444541285698</v>
      </c>
      <c r="H21" s="4"/>
      <c r="I21" s="4"/>
      <c r="J21" s="4"/>
      <c r="K21" s="4"/>
      <c r="L21" s="4"/>
      <c r="M21" s="4"/>
      <c r="N21" s="4"/>
    </row>
    <row r="22" spans="2:14" x14ac:dyDescent="0.25">
      <c r="B22" s="1">
        <v>44804</v>
      </c>
      <c r="C22" s="1" t="s">
        <v>19</v>
      </c>
      <c r="D22" s="1">
        <v>45534</v>
      </c>
      <c r="E22" s="2" t="s">
        <v>30</v>
      </c>
      <c r="F22" s="3">
        <v>0.93147415518598298</v>
      </c>
      <c r="G22" s="2">
        <v>3.5396440803700902</v>
      </c>
      <c r="H22" s="4"/>
      <c r="I22" s="5">
        <v>44804</v>
      </c>
      <c r="J22" s="4" t="s">
        <v>45</v>
      </c>
      <c r="K22" s="5">
        <v>45534</v>
      </c>
      <c r="L22" s="4" t="s">
        <v>30</v>
      </c>
      <c r="M22" s="4">
        <v>1.01247876460525</v>
      </c>
      <c r="N22" s="4">
        <v>-0.61838312720301403</v>
      </c>
    </row>
    <row r="23" spans="2:14" x14ac:dyDescent="0.25">
      <c r="B23" s="1">
        <v>44804</v>
      </c>
      <c r="C23" s="1" t="s">
        <v>19</v>
      </c>
      <c r="D23" s="1">
        <v>45898</v>
      </c>
      <c r="E23" s="2" t="s">
        <v>31</v>
      </c>
      <c r="F23" s="3">
        <v>0.90478181097946897</v>
      </c>
      <c r="G23" s="2">
        <v>3.3323386751544199</v>
      </c>
      <c r="H23" s="4"/>
      <c r="I23" s="5">
        <v>44804</v>
      </c>
      <c r="J23" s="4" t="s">
        <v>45</v>
      </c>
      <c r="K23" s="5">
        <v>45898</v>
      </c>
      <c r="L23" s="4" t="s">
        <v>31</v>
      </c>
      <c r="M23" s="4">
        <v>1.02007035629548</v>
      </c>
      <c r="N23" s="4">
        <v>-0.66178235523727402</v>
      </c>
    </row>
    <row r="24" spans="2:14" x14ac:dyDescent="0.25">
      <c r="B24" s="1">
        <v>44804</v>
      </c>
      <c r="C24" s="1" t="s">
        <v>19</v>
      </c>
      <c r="D24" s="1">
        <v>46265</v>
      </c>
      <c r="E24" s="2" t="s">
        <v>32</v>
      </c>
      <c r="F24" s="3">
        <v>0.88038035896242595</v>
      </c>
      <c r="G24" s="2">
        <v>3.1784998064512102</v>
      </c>
      <c r="H24" s="4"/>
      <c r="I24" s="5">
        <v>44804</v>
      </c>
      <c r="J24" s="4" t="s">
        <v>45</v>
      </c>
      <c r="K24" s="5">
        <v>46265</v>
      </c>
      <c r="L24" s="4" t="s">
        <v>32</v>
      </c>
      <c r="M24" s="4">
        <v>1.0254782829904201</v>
      </c>
      <c r="N24" s="4">
        <v>-0.62768826243616405</v>
      </c>
    </row>
    <row r="25" spans="2:14" x14ac:dyDescent="0.25">
      <c r="B25" s="1">
        <v>44804</v>
      </c>
      <c r="C25" s="1" t="s">
        <v>19</v>
      </c>
      <c r="D25" s="1">
        <v>46630</v>
      </c>
      <c r="E25" s="2" t="s">
        <v>33</v>
      </c>
      <c r="F25" s="3">
        <v>0.85782517465346297</v>
      </c>
      <c r="G25" s="2">
        <v>3.0620656558804802</v>
      </c>
      <c r="H25" s="4"/>
      <c r="I25" s="5">
        <v>44804</v>
      </c>
      <c r="J25" s="4" t="s">
        <v>45</v>
      </c>
      <c r="K25" s="5">
        <v>46630</v>
      </c>
      <c r="L25" s="4" t="s">
        <v>33</v>
      </c>
      <c r="M25" s="4">
        <v>1.0388948146655901</v>
      </c>
      <c r="N25" s="4">
        <v>-0.76189696482964497</v>
      </c>
    </row>
    <row r="26" spans="2:14" x14ac:dyDescent="0.25">
      <c r="B26" s="1">
        <v>44804</v>
      </c>
      <c r="C26" s="1" t="s">
        <v>19</v>
      </c>
      <c r="D26" s="1">
        <v>46996</v>
      </c>
      <c r="E26" s="2" t="s">
        <v>34</v>
      </c>
      <c r="F26" s="3">
        <v>0.835868642798826</v>
      </c>
      <c r="G26" s="2">
        <v>2.9826157018831099</v>
      </c>
      <c r="H26" s="4"/>
      <c r="I26" s="4"/>
      <c r="J26" s="4"/>
      <c r="K26" s="4"/>
      <c r="L26" s="4"/>
      <c r="M26" s="4"/>
      <c r="N26" s="4"/>
    </row>
    <row r="27" spans="2:14" x14ac:dyDescent="0.25">
      <c r="B27" s="1">
        <v>44804</v>
      </c>
      <c r="C27" s="1" t="s">
        <v>19</v>
      </c>
      <c r="D27" s="1">
        <v>47361</v>
      </c>
      <c r="E27" s="2" t="s">
        <v>35</v>
      </c>
      <c r="F27" s="3">
        <v>0.81358927702408701</v>
      </c>
      <c r="G27" s="2">
        <v>2.9425306416958601</v>
      </c>
      <c r="H27" s="4"/>
      <c r="I27" s="5">
        <v>44804</v>
      </c>
      <c r="J27" s="4" t="s">
        <v>45</v>
      </c>
      <c r="K27" s="5">
        <v>47361</v>
      </c>
      <c r="L27" s="4" t="s">
        <v>35</v>
      </c>
      <c r="M27" s="4">
        <v>1.03854057536823</v>
      </c>
      <c r="N27" s="4">
        <v>-0.53939033480607901</v>
      </c>
    </row>
    <row r="28" spans="2:14" x14ac:dyDescent="0.25">
      <c r="B28" s="1">
        <v>44804</v>
      </c>
      <c r="C28" s="1" t="s">
        <v>19</v>
      </c>
      <c r="D28" s="1">
        <v>47725</v>
      </c>
      <c r="E28" s="2" t="s">
        <v>36</v>
      </c>
      <c r="F28" s="3">
        <v>0.79170624821561897</v>
      </c>
      <c r="G28" s="2">
        <v>2.9165642139068702</v>
      </c>
      <c r="H28" s="4"/>
      <c r="I28" s="4"/>
      <c r="J28" s="4"/>
      <c r="K28" s="4"/>
      <c r="L28" s="4"/>
      <c r="M28" s="4"/>
      <c r="N28" s="4"/>
    </row>
    <row r="29" spans="2:14" x14ac:dyDescent="0.25">
      <c r="B29" s="1">
        <v>44804</v>
      </c>
      <c r="C29" s="1" t="s">
        <v>19</v>
      </c>
      <c r="D29" s="1">
        <v>48089</v>
      </c>
      <c r="E29" s="2" t="s">
        <v>37</v>
      </c>
      <c r="F29" s="3">
        <v>0.76996621938371601</v>
      </c>
      <c r="G29" s="2">
        <v>2.9027731111558102</v>
      </c>
      <c r="H29" s="4"/>
      <c r="I29" s="4"/>
      <c r="J29" s="4"/>
      <c r="K29" s="4"/>
      <c r="L29" s="4"/>
      <c r="M29" s="4"/>
      <c r="N29" s="4"/>
    </row>
    <row r="30" spans="2:14" x14ac:dyDescent="0.25">
      <c r="B30" s="1">
        <v>44804</v>
      </c>
      <c r="C30" s="1" t="s">
        <v>19</v>
      </c>
      <c r="D30" s="1">
        <v>48457</v>
      </c>
      <c r="E30" s="2" t="s">
        <v>38</v>
      </c>
      <c r="F30" s="3">
        <v>0.74774973522983701</v>
      </c>
      <c r="G30" s="2">
        <v>2.9028927905679001</v>
      </c>
      <c r="H30" s="4"/>
      <c r="I30" s="5">
        <v>44804</v>
      </c>
      <c r="J30" s="4" t="s">
        <v>45</v>
      </c>
      <c r="K30" s="5">
        <v>48457</v>
      </c>
      <c r="L30" s="4" t="s">
        <v>38</v>
      </c>
      <c r="M30" s="4">
        <v>1.03963437296604</v>
      </c>
      <c r="N30" s="4">
        <v>-0.38815914404430002</v>
      </c>
    </row>
    <row r="31" spans="2:14" x14ac:dyDescent="0.25">
      <c r="B31" s="1">
        <v>44804</v>
      </c>
      <c r="C31" s="1" t="s">
        <v>19</v>
      </c>
      <c r="D31" s="1">
        <v>49187</v>
      </c>
      <c r="E31" s="2" t="s">
        <v>39</v>
      </c>
      <c r="F31" s="3">
        <v>0.70443181945611699</v>
      </c>
      <c r="G31" s="2">
        <v>2.9163685705191802</v>
      </c>
      <c r="H31" s="4"/>
      <c r="I31" s="4"/>
      <c r="J31" s="4"/>
      <c r="K31" s="4"/>
      <c r="L31" s="4"/>
      <c r="M31" s="4"/>
      <c r="N31" s="4"/>
    </row>
    <row r="32" spans="2:14" x14ac:dyDescent="0.25">
      <c r="B32" s="1">
        <v>44804</v>
      </c>
      <c r="C32" s="1" t="s">
        <v>19</v>
      </c>
      <c r="D32" s="1">
        <v>50283</v>
      </c>
      <c r="E32" s="2" t="s">
        <v>40</v>
      </c>
      <c r="F32" s="3">
        <v>0.643734391044261</v>
      </c>
      <c r="G32" s="2">
        <v>2.93324597908226</v>
      </c>
      <c r="H32" s="4"/>
      <c r="I32" s="4"/>
      <c r="J32" s="4"/>
      <c r="K32" s="4"/>
      <c r="L32" s="4"/>
      <c r="M32" s="4"/>
      <c r="N32" s="4"/>
    </row>
    <row r="33" spans="2:14" x14ac:dyDescent="0.25">
      <c r="B33" s="1">
        <v>44804</v>
      </c>
      <c r="C33" s="1" t="s">
        <v>19</v>
      </c>
      <c r="D33" s="1">
        <v>52107</v>
      </c>
      <c r="E33" s="2" t="s">
        <v>41</v>
      </c>
      <c r="F33" s="3">
        <v>0.562732773741774</v>
      </c>
      <c r="G33" s="2">
        <v>2.8727843924643599</v>
      </c>
      <c r="H33" s="4"/>
      <c r="I33" s="4"/>
      <c r="J33" s="4"/>
      <c r="K33" s="4"/>
      <c r="L33" s="4"/>
      <c r="M33" s="4"/>
      <c r="N33" s="4"/>
    </row>
    <row r="34" spans="2:14" x14ac:dyDescent="0.25">
      <c r="B34" s="1">
        <v>44804</v>
      </c>
      <c r="C34" s="1" t="s">
        <v>19</v>
      </c>
      <c r="D34" s="1">
        <v>53934</v>
      </c>
      <c r="E34" s="2" t="s">
        <v>42</v>
      </c>
      <c r="F34" s="3">
        <v>0.50644541855751901</v>
      </c>
      <c r="G34" s="2">
        <v>2.71926887823015</v>
      </c>
      <c r="H34" s="4"/>
      <c r="I34" s="4"/>
      <c r="J34" s="4"/>
      <c r="K34" s="4"/>
      <c r="L34" s="4"/>
      <c r="M34" s="4"/>
      <c r="N34" s="4"/>
    </row>
    <row r="35" spans="2:14" x14ac:dyDescent="0.25">
      <c r="B35" s="1">
        <v>44804</v>
      </c>
      <c r="C35" s="1" t="s">
        <v>19</v>
      </c>
      <c r="D35" s="1">
        <v>55761</v>
      </c>
      <c r="E35" s="2" t="s">
        <v>43</v>
      </c>
      <c r="F35" s="3">
        <v>0.45708309889090898</v>
      </c>
      <c r="G35" s="2">
        <v>2.6074904208018701</v>
      </c>
      <c r="H35" s="4"/>
      <c r="I35" s="4"/>
      <c r="J35" s="4"/>
      <c r="K35" s="4"/>
      <c r="L35" s="4"/>
      <c r="M35" s="4"/>
      <c r="N35" s="4"/>
    </row>
    <row r="36" spans="2:14" x14ac:dyDescent="0.25">
      <c r="B36" s="1">
        <v>44804</v>
      </c>
      <c r="C36" s="1" t="s">
        <v>19</v>
      </c>
      <c r="D36" s="1">
        <v>59414</v>
      </c>
      <c r="E36" s="2" t="s">
        <v>44</v>
      </c>
      <c r="F36" s="3">
        <v>0.39561726361342497</v>
      </c>
      <c r="G36" s="2">
        <v>2.3163662404789398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3:F13"/>
  <sheetViews>
    <sheetView tabSelected="1" workbookViewId="0">
      <selection activeCell="E13" sqref="E3:E13"/>
    </sheetView>
  </sheetViews>
  <sheetFormatPr defaultRowHeight="16.5" x14ac:dyDescent="0.25"/>
  <cols>
    <col min="2" max="2" width="11.875" bestFit="1" customWidth="1"/>
    <col min="5" max="5" width="9.125" bestFit="1" customWidth="1"/>
  </cols>
  <sheetData>
    <row r="3" spans="2:6" x14ac:dyDescent="0.25">
      <c r="B3" s="45">
        <v>44809</v>
      </c>
      <c r="C3" s="44" t="s">
        <v>57</v>
      </c>
      <c r="D3" s="44" t="s">
        <v>47</v>
      </c>
      <c r="E3" s="44">
        <v>12.65</v>
      </c>
      <c r="F3" s="44"/>
    </row>
    <row r="4" spans="2:6" x14ac:dyDescent="0.25">
      <c r="B4" s="45">
        <v>44832</v>
      </c>
      <c r="C4" s="44" t="s">
        <v>58</v>
      </c>
      <c r="D4" s="44" t="s">
        <v>21</v>
      </c>
      <c r="E4" s="44">
        <v>12.52</v>
      </c>
      <c r="F4" s="44"/>
    </row>
    <row r="5" spans="2:6" x14ac:dyDescent="0.25">
      <c r="B5" s="45">
        <v>44861</v>
      </c>
      <c r="C5" s="44" t="s">
        <v>59</v>
      </c>
      <c r="D5" s="44" t="s">
        <v>22</v>
      </c>
      <c r="E5" s="44">
        <v>11.75</v>
      </c>
      <c r="F5" s="44"/>
    </row>
    <row r="6" spans="2:6" x14ac:dyDescent="0.25">
      <c r="B6" s="45">
        <v>44893</v>
      </c>
      <c r="C6" s="44" t="s">
        <v>60</v>
      </c>
      <c r="D6" s="44" t="s">
        <v>23</v>
      </c>
      <c r="E6" s="44">
        <v>11.477499999999999</v>
      </c>
      <c r="F6" s="44"/>
    </row>
    <row r="7" spans="2:6" x14ac:dyDescent="0.25">
      <c r="B7" s="45">
        <v>44981</v>
      </c>
      <c r="C7" s="44" t="s">
        <v>61</v>
      </c>
      <c r="D7" s="44" t="s">
        <v>26</v>
      </c>
      <c r="E7" s="44">
        <v>11.022500000000001</v>
      </c>
      <c r="F7" s="44"/>
    </row>
    <row r="8" spans="2:6" x14ac:dyDescent="0.25">
      <c r="B8" s="45">
        <v>45075</v>
      </c>
      <c r="C8" s="44" t="s">
        <v>62</v>
      </c>
      <c r="D8" s="44" t="s">
        <v>27</v>
      </c>
      <c r="E8" s="44">
        <v>10.7</v>
      </c>
      <c r="F8" s="44"/>
    </row>
    <row r="9" spans="2:6" x14ac:dyDescent="0.25">
      <c r="B9" s="45">
        <v>45167</v>
      </c>
      <c r="C9" s="44" t="s">
        <v>63</v>
      </c>
      <c r="D9" s="44" t="s">
        <v>28</v>
      </c>
      <c r="E9" s="44">
        <v>10.5</v>
      </c>
      <c r="F9" s="44"/>
    </row>
    <row r="10" spans="2:6" x14ac:dyDescent="0.25">
      <c r="B10" s="45">
        <v>45532</v>
      </c>
      <c r="C10" s="44" t="s">
        <v>64</v>
      </c>
      <c r="D10" s="44" t="s">
        <v>30</v>
      </c>
      <c r="E10" s="44">
        <v>9.9499999999999993</v>
      </c>
      <c r="F10" s="44"/>
    </row>
    <row r="11" spans="2:6" x14ac:dyDescent="0.25">
      <c r="B11" s="45">
        <v>46626</v>
      </c>
      <c r="C11" s="44" t="s">
        <v>65</v>
      </c>
      <c r="D11" s="44" t="s">
        <v>33</v>
      </c>
      <c r="E11" s="44">
        <v>9.3650000000000002</v>
      </c>
      <c r="F11" s="44"/>
    </row>
    <row r="12" spans="2:6" x14ac:dyDescent="0.25">
      <c r="B12" s="45">
        <v>47359</v>
      </c>
      <c r="C12" s="44" t="s">
        <v>66</v>
      </c>
      <c r="D12" s="44" t="s">
        <v>35</v>
      </c>
      <c r="E12" s="44">
        <v>9.3949999999999996</v>
      </c>
      <c r="F12" s="44"/>
    </row>
    <row r="13" spans="2:6" x14ac:dyDescent="0.25">
      <c r="B13" s="45">
        <v>48453</v>
      </c>
      <c r="C13" s="44" t="s">
        <v>67</v>
      </c>
      <c r="D13" s="44" t="s">
        <v>38</v>
      </c>
      <c r="E13" s="44">
        <v>9.5425000000000004</v>
      </c>
      <c r="F13" s="4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Booking</vt:lpstr>
      <vt:lpstr>Rates</vt:lpstr>
      <vt:lpstr>Vols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吳冠宏(Harvey Wu)</dc:creator>
  <cp:lastModifiedBy>吳冠宏(Harvey Wu)</cp:lastModifiedBy>
  <dcterms:created xsi:type="dcterms:W3CDTF">2022-09-07T02:35:25Z</dcterms:created>
  <dcterms:modified xsi:type="dcterms:W3CDTF">2022-12-23T08:22:01Z</dcterms:modified>
</cp:coreProperties>
</file>