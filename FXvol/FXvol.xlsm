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Quantlib\MyProject\FXvol\"/>
    </mc:Choice>
  </mc:AlternateContent>
  <xr:revisionPtr revIDLastSave="0" documentId="13_ncr:1_{05DA4768-F77C-4A67-A36E-2526C80B29FF}" xr6:coauthVersionLast="36" xr6:coauthVersionMax="36" xr10:uidLastSave="{00000000-0000-0000-0000-000000000000}"/>
  <bookViews>
    <workbookView xWindow="0" yWindow="0" windowWidth="19200" windowHeight="6910" activeTab="3" xr2:uid="{00000000-000D-0000-FFFF-FFFF00000000}"/>
  </bookViews>
  <sheets>
    <sheet name="Input" sheetId="7" r:id="rId1"/>
    <sheet name="Process" sheetId="8" r:id="rId2"/>
    <sheet name="Outcome" sheetId="9" r:id="rId3"/>
    <sheet name="LMUV" sheetId="12" r:id="rId4"/>
  </sheets>
  <functionGroups builtInGroupCount="19"/>
  <definedNames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LMUV!$F$41:$G$41</definedName>
    <definedName name="solver_lhs10" localSheetId="3" hidden="1">LMUV!$G$22:$G$23</definedName>
    <definedName name="solver_lhs2" localSheetId="3" hidden="1">LMUV!$F$41:$G$41</definedName>
    <definedName name="solver_lhs3" localSheetId="3" hidden="1">LMUV!$G$20:$G$21</definedName>
    <definedName name="solver_lhs4" localSheetId="3" hidden="1">LMUV!$G$20:$G$21</definedName>
    <definedName name="solver_lhs5" localSheetId="3" hidden="1">LMUV!$G$22:$G$23</definedName>
    <definedName name="solver_lhs6" localSheetId="3" hidden="1">LMUV!$G$22:$G$23</definedName>
    <definedName name="solver_lhs7" localSheetId="3" hidden="1">LMUV!$G$22:$G$23</definedName>
    <definedName name="solver_lhs8" localSheetId="3" hidden="1">LMUV!$G$22:$G$23</definedName>
    <definedName name="solver_lhs9" localSheetId="3" hidden="1">LMUV!$G$22:$G$23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10" localSheetId="3" hidden="1">3</definedName>
    <definedName name="solver_rel2" localSheetId="3" hidden="1">1</definedName>
    <definedName name="solver_rel3" localSheetId="3" hidden="1">3</definedName>
    <definedName name="solver_rel4" localSheetId="3" hidden="1">1</definedName>
    <definedName name="solver_rel5" localSheetId="3" hidden="1">3</definedName>
    <definedName name="solver_rel6" localSheetId="3" hidden="1">1</definedName>
    <definedName name="solver_rel7" localSheetId="3" hidden="1">1</definedName>
    <definedName name="solver_rel8" localSheetId="3" hidden="1">3</definedName>
    <definedName name="solver_rel9" localSheetId="3" hidden="1">1</definedName>
    <definedName name="solver_rhs1" localSheetId="3" hidden="1">0.01</definedName>
    <definedName name="solver_rhs10" localSheetId="3" hidden="1">-200</definedName>
    <definedName name="solver_rhs2" localSheetId="3" hidden="1">500</definedName>
    <definedName name="solver_rhs3" localSheetId="3" hidden="1">0.1</definedName>
    <definedName name="solver_rhs4" localSheetId="3" hidden="1">500</definedName>
    <definedName name="solver_rhs5" localSheetId="3" hidden="1">-500</definedName>
    <definedName name="solver_rhs6" localSheetId="3" hidden="1">100</definedName>
    <definedName name="solver_rhs7" localSheetId="3" hidden="1">100</definedName>
    <definedName name="solver_rhs8" localSheetId="3" hidden="1">-200</definedName>
    <definedName name="solver_rhs9" localSheetId="3" hidden="1">100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4" i="12" l="1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F14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F13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F12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F11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F10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F9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F8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F7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F6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F5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F4" i="12"/>
  <c r="S3" i="12"/>
  <c r="R3" i="12"/>
  <c r="Q3" i="12"/>
  <c r="P3" i="12"/>
  <c r="O3" i="12"/>
  <c r="F3" i="12"/>
  <c r="I14" i="12" l="1"/>
  <c r="I13" i="12"/>
  <c r="I12" i="12"/>
  <c r="I11" i="12"/>
  <c r="I10" i="12"/>
  <c r="I9" i="12"/>
  <c r="I8" i="12"/>
  <c r="I7" i="12"/>
  <c r="I6" i="12"/>
  <c r="I5" i="12"/>
  <c r="I4" i="12"/>
  <c r="H14" i="12" l="1"/>
  <c r="H13" i="12"/>
  <c r="H12" i="12"/>
  <c r="H11" i="12"/>
  <c r="H10" i="12"/>
  <c r="H9" i="12"/>
  <c r="H8" i="12"/>
  <c r="H7" i="12"/>
  <c r="H6" i="12"/>
  <c r="H5" i="12"/>
  <c r="H4" i="12"/>
  <c r="G14" i="12"/>
  <c r="G13" i="12"/>
  <c r="G12" i="12"/>
  <c r="G11" i="12"/>
  <c r="G10" i="12"/>
  <c r="G9" i="12"/>
  <c r="G8" i="12"/>
  <c r="G7" i="12"/>
  <c r="G6" i="12"/>
  <c r="G5" i="12"/>
  <c r="G4" i="12"/>
  <c r="I31" i="12" l="1"/>
  <c r="H31" i="12"/>
  <c r="G18" i="12"/>
  <c r="N24" i="12"/>
  <c r="K21" i="12"/>
  <c r="J20" i="12"/>
  <c r="O20" i="12" s="1"/>
  <c r="K31" i="12"/>
  <c r="M23" i="12"/>
  <c r="R23" i="12" s="1"/>
  <c r="L22" i="12"/>
  <c r="Q22" i="12" s="1"/>
  <c r="I32" i="12" l="1"/>
  <c r="I33" i="12" s="1"/>
  <c r="I34" i="12" s="1"/>
  <c r="I35" i="12" s="1"/>
  <c r="I36" i="12" s="1"/>
  <c r="I37" i="12" s="1"/>
  <c r="I38" i="12" s="1"/>
  <c r="I39" i="12" s="1"/>
  <c r="I40" i="12" s="1"/>
  <c r="I41" i="12" s="1"/>
  <c r="H32" i="12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35" i="7"/>
  <c r="Z35" i="7"/>
  <c r="Z50" i="7"/>
  <c r="Z42" i="7"/>
  <c r="Y42" i="7"/>
  <c r="Y37" i="7"/>
  <c r="Z57" i="7"/>
  <c r="AE47" i="8"/>
  <c r="AE45" i="8"/>
  <c r="AE44" i="8"/>
  <c r="AE43" i="8"/>
  <c r="AE42" i="8"/>
  <c r="AE41" i="8"/>
  <c r="AE49" i="8" s="1"/>
  <c r="AE40" i="8"/>
  <c r="J26" i="12"/>
  <c r="M32" i="12"/>
  <c r="K22" i="12"/>
  <c r="K25" i="12"/>
  <c r="J18" i="12"/>
  <c r="M20" i="12"/>
  <c r="L23" i="12"/>
  <c r="K19" i="12"/>
  <c r="M31" i="12"/>
  <c r="N21" i="12"/>
  <c r="L18" i="12"/>
  <c r="J19" i="12"/>
  <c r="M27" i="12"/>
  <c r="L32" i="12"/>
  <c r="N22" i="12"/>
  <c r="K20" i="12"/>
  <c r="L20" i="12"/>
  <c r="J24" i="12"/>
  <c r="O24" i="12" s="1"/>
  <c r="J25" i="12"/>
  <c r="M19" i="12"/>
  <c r="L19" i="12"/>
  <c r="J22" i="12"/>
  <c r="N27" i="12"/>
  <c r="K32" i="12"/>
  <c r="L21" i="12"/>
  <c r="L31" i="12"/>
  <c r="K24" i="12"/>
  <c r="N23" i="12"/>
  <c r="K18" i="12"/>
  <c r="M18" i="12"/>
  <c r="K23" i="12"/>
  <c r="N25" i="12"/>
  <c r="K26" i="12"/>
  <c r="N17" i="12"/>
  <c r="O18" i="12"/>
  <c r="M25" i="12"/>
  <c r="N20" i="12"/>
  <c r="J23" i="12"/>
  <c r="L24" i="12"/>
  <c r="N19" i="12"/>
  <c r="J32" i="12"/>
  <c r="J31" i="12"/>
  <c r="J27" i="12"/>
  <c r="M26" i="12"/>
  <c r="J17" i="12"/>
  <c r="K17" i="12"/>
  <c r="N31" i="12"/>
  <c r="L26" i="12"/>
  <c r="M21" i="12"/>
  <c r="K27" i="12"/>
  <c r="O32" i="12"/>
  <c r="J21" i="12"/>
  <c r="S24" i="12"/>
  <c r="P31" i="12"/>
  <c r="P21" i="12"/>
  <c r="O26" i="12"/>
  <c r="M22" i="12"/>
  <c r="L25" i="12"/>
  <c r="L27" i="12"/>
  <c r="L17" i="12"/>
  <c r="O25" i="12"/>
  <c r="M17" i="12"/>
  <c r="N18" i="12"/>
  <c r="M24" i="12"/>
  <c r="O17" i="12"/>
  <c r="O23" i="12"/>
  <c r="O19" i="12"/>
  <c r="N26" i="12"/>
  <c r="N32" i="12"/>
  <c r="AE50" i="8" l="1"/>
  <c r="AE52" i="8" s="1"/>
  <c r="AE51" i="8"/>
  <c r="AE53" i="8" s="1"/>
  <c r="AE54" i="8"/>
  <c r="X27" i="12"/>
  <c r="U27" i="12"/>
  <c r="T27" i="12"/>
  <c r="U21" i="12"/>
  <c r="T21" i="12"/>
  <c r="X21" i="12"/>
  <c r="U17" i="12"/>
  <c r="T17" i="12"/>
  <c r="X17" i="12"/>
  <c r="T23" i="12"/>
  <c r="U23" i="12"/>
  <c r="X23" i="12"/>
  <c r="T32" i="12"/>
  <c r="X32" i="12"/>
  <c r="U32" i="12"/>
  <c r="U31" i="12"/>
  <c r="T31" i="12"/>
  <c r="X31" i="12"/>
  <c r="X25" i="12"/>
  <c r="U25" i="12"/>
  <c r="T25" i="12"/>
  <c r="X24" i="12"/>
  <c r="U24" i="12"/>
  <c r="T24" i="12"/>
  <c r="U20" i="12"/>
  <c r="T20" i="12"/>
  <c r="X20" i="12"/>
  <c r="T22" i="12"/>
  <c r="U22" i="12"/>
  <c r="X22" i="12"/>
  <c r="X26" i="12"/>
  <c r="U26" i="12"/>
  <c r="T26" i="12"/>
  <c r="U18" i="12"/>
  <c r="X18" i="12"/>
  <c r="T18" i="12"/>
  <c r="X19" i="12"/>
  <c r="U19" i="12"/>
  <c r="T19" i="12"/>
  <c r="H33" i="12"/>
  <c r="Z38" i="7"/>
  <c r="Z39" i="7"/>
  <c r="Z40" i="7"/>
  <c r="Z41" i="7"/>
  <c r="Z43" i="7"/>
  <c r="Z44" i="7"/>
  <c r="Z45" i="7"/>
  <c r="Z46" i="7"/>
  <c r="Z47" i="7"/>
  <c r="Z48" i="7"/>
  <c r="Z49" i="7"/>
  <c r="Z51" i="7"/>
  <c r="Z52" i="7"/>
  <c r="Z53" i="7"/>
  <c r="Z54" i="7"/>
  <c r="Z55" i="7"/>
  <c r="Z56" i="7"/>
  <c r="Z37" i="7"/>
  <c r="Z36" i="7"/>
  <c r="Y38" i="7"/>
  <c r="Y39" i="7"/>
  <c r="Y40" i="7"/>
  <c r="Y41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36" i="7"/>
  <c r="Y35" i="7"/>
  <c r="O21" i="12"/>
  <c r="Q31" i="12"/>
  <c r="Q27" i="12"/>
  <c r="M33" i="12"/>
  <c r="Q32" i="12"/>
  <c r="P32" i="12"/>
  <c r="S31" i="12"/>
  <c r="Q21" i="12"/>
  <c r="R24" i="12"/>
  <c r="S26" i="12"/>
  <c r="S18" i="12"/>
  <c r="O27" i="12"/>
  <c r="R25" i="12"/>
  <c r="S23" i="12"/>
  <c r="K33" i="12"/>
  <c r="S19" i="12"/>
  <c r="R20" i="12"/>
  <c r="Q23" i="12"/>
  <c r="R27" i="12"/>
  <c r="S21" i="12"/>
  <c r="P22" i="12"/>
  <c r="O31" i="12"/>
  <c r="S25" i="12"/>
  <c r="Q20" i="12"/>
  <c r="R26" i="12"/>
  <c r="Q18" i="12"/>
  <c r="R18" i="12"/>
  <c r="S17" i="12"/>
  <c r="S20" i="12"/>
  <c r="O22" i="12"/>
  <c r="R22" i="12"/>
  <c r="Q17" i="12"/>
  <c r="R31" i="12"/>
  <c r="R17" i="12"/>
  <c r="P20" i="12"/>
  <c r="P18" i="12"/>
  <c r="S27" i="12"/>
  <c r="P23" i="12"/>
  <c r="S22" i="12"/>
  <c r="P24" i="12"/>
  <c r="R21" i="12"/>
  <c r="P25" i="12"/>
  <c r="P26" i="12"/>
  <c r="R32" i="12"/>
  <c r="Q26" i="12"/>
  <c r="Q24" i="12"/>
  <c r="Q19" i="12"/>
  <c r="J33" i="12"/>
  <c r="S32" i="12"/>
  <c r="L33" i="12"/>
  <c r="R19" i="12"/>
  <c r="P19" i="12"/>
  <c r="P27" i="12"/>
  <c r="Q25" i="12"/>
  <c r="P17" i="12"/>
  <c r="N33" i="12"/>
  <c r="AE56" i="8" l="1"/>
  <c r="W21" i="12"/>
  <c r="V21" i="12"/>
  <c r="W17" i="12"/>
  <c r="V17" i="12"/>
  <c r="V25" i="12"/>
  <c r="W25" i="12"/>
  <c r="W24" i="12"/>
  <c r="V24" i="12"/>
  <c r="V22" i="12"/>
  <c r="W22" i="12"/>
  <c r="W32" i="12"/>
  <c r="V32" i="12"/>
  <c r="W27" i="12"/>
  <c r="V27" i="12"/>
  <c r="W26" i="12"/>
  <c r="V26" i="12"/>
  <c r="W19" i="12"/>
  <c r="V19" i="12"/>
  <c r="W23" i="12"/>
  <c r="V23" i="12"/>
  <c r="V20" i="12"/>
  <c r="W20" i="12"/>
  <c r="W18" i="12"/>
  <c r="V18" i="12"/>
  <c r="W31" i="12"/>
  <c r="V31" i="12"/>
  <c r="X33" i="12"/>
  <c r="U33" i="12"/>
  <c r="T33" i="12"/>
  <c r="X28" i="12"/>
  <c r="T28" i="12"/>
  <c r="H34" i="12"/>
  <c r="U28" i="12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Z43" i="8"/>
  <c r="AA43" i="8"/>
  <c r="AB43" i="8"/>
  <c r="J44" i="8"/>
  <c r="K44" i="8"/>
  <c r="L44" i="8"/>
  <c r="M44" i="8"/>
  <c r="N44" i="8"/>
  <c r="O44" i="8"/>
  <c r="P44" i="8"/>
  <c r="Q44" i="8"/>
  <c r="R44" i="8"/>
  <c r="S44" i="8"/>
  <c r="T44" i="8"/>
  <c r="U44" i="8"/>
  <c r="V44" i="8"/>
  <c r="W44" i="8"/>
  <c r="X44" i="8"/>
  <c r="Y44" i="8"/>
  <c r="Z44" i="8"/>
  <c r="AA44" i="8"/>
  <c r="AB44" i="8"/>
  <c r="J45" i="8"/>
  <c r="K45" i="8"/>
  <c r="L45" i="8"/>
  <c r="M45" i="8"/>
  <c r="N45" i="8"/>
  <c r="O45" i="8"/>
  <c r="P45" i="8"/>
  <c r="Q45" i="8"/>
  <c r="R45" i="8"/>
  <c r="S45" i="8"/>
  <c r="T45" i="8"/>
  <c r="U45" i="8"/>
  <c r="V45" i="8"/>
  <c r="W45" i="8"/>
  <c r="X45" i="8"/>
  <c r="Y45" i="8"/>
  <c r="Z45" i="8"/>
  <c r="AA45" i="8"/>
  <c r="AB45" i="8"/>
  <c r="J46" i="8"/>
  <c r="K46" i="8"/>
  <c r="L46" i="8"/>
  <c r="M46" i="8"/>
  <c r="N46" i="8"/>
  <c r="O46" i="8"/>
  <c r="P46" i="8"/>
  <c r="Q46" i="8"/>
  <c r="R46" i="8"/>
  <c r="S46" i="8"/>
  <c r="T46" i="8"/>
  <c r="U46" i="8"/>
  <c r="V46" i="8"/>
  <c r="W46" i="8"/>
  <c r="X46" i="8"/>
  <c r="Y46" i="8"/>
  <c r="Z46" i="8"/>
  <c r="AA46" i="8"/>
  <c r="AB46" i="8"/>
  <c r="J47" i="8"/>
  <c r="K47" i="8"/>
  <c r="L47" i="8"/>
  <c r="M47" i="8"/>
  <c r="N47" i="8"/>
  <c r="O47" i="8"/>
  <c r="P47" i="8"/>
  <c r="Q47" i="8"/>
  <c r="R47" i="8"/>
  <c r="S47" i="8"/>
  <c r="T47" i="8"/>
  <c r="U47" i="8"/>
  <c r="V47" i="8"/>
  <c r="W47" i="8"/>
  <c r="X47" i="8"/>
  <c r="Y47" i="8"/>
  <c r="Z47" i="8"/>
  <c r="AA47" i="8"/>
  <c r="AB47" i="8"/>
  <c r="J48" i="8"/>
  <c r="K48" i="8"/>
  <c r="L48" i="8"/>
  <c r="M48" i="8"/>
  <c r="N48" i="8"/>
  <c r="O48" i="8"/>
  <c r="P48" i="8"/>
  <c r="Q48" i="8"/>
  <c r="R48" i="8"/>
  <c r="S48" i="8"/>
  <c r="T48" i="8"/>
  <c r="U48" i="8"/>
  <c r="V48" i="8"/>
  <c r="W48" i="8"/>
  <c r="X48" i="8"/>
  <c r="Y48" i="8"/>
  <c r="Z48" i="8"/>
  <c r="AA48" i="8"/>
  <c r="AB48" i="8"/>
  <c r="J49" i="8"/>
  <c r="K49" i="8"/>
  <c r="L49" i="8"/>
  <c r="M49" i="8"/>
  <c r="N49" i="8"/>
  <c r="O49" i="8"/>
  <c r="P49" i="8"/>
  <c r="Q49" i="8"/>
  <c r="R49" i="8"/>
  <c r="S49" i="8"/>
  <c r="T49" i="8"/>
  <c r="U49" i="8"/>
  <c r="V49" i="8"/>
  <c r="W49" i="8"/>
  <c r="X49" i="8"/>
  <c r="Y49" i="8"/>
  <c r="Z49" i="8"/>
  <c r="AA49" i="8"/>
  <c r="AB49" i="8"/>
  <c r="J50" i="8"/>
  <c r="K50" i="8"/>
  <c r="L50" i="8"/>
  <c r="M50" i="8"/>
  <c r="N50" i="8"/>
  <c r="O50" i="8"/>
  <c r="P50" i="8"/>
  <c r="Q50" i="8"/>
  <c r="R50" i="8"/>
  <c r="S50" i="8"/>
  <c r="T50" i="8"/>
  <c r="U50" i="8"/>
  <c r="V50" i="8"/>
  <c r="W50" i="8"/>
  <c r="X50" i="8"/>
  <c r="Y50" i="8"/>
  <c r="Z50" i="8"/>
  <c r="AA50" i="8"/>
  <c r="AB50" i="8"/>
  <c r="J51" i="8"/>
  <c r="K51" i="8"/>
  <c r="L51" i="8"/>
  <c r="M51" i="8"/>
  <c r="N51" i="8"/>
  <c r="O51" i="8"/>
  <c r="P51" i="8"/>
  <c r="Q51" i="8"/>
  <c r="R51" i="8"/>
  <c r="S51" i="8"/>
  <c r="T51" i="8"/>
  <c r="U51" i="8"/>
  <c r="V51" i="8"/>
  <c r="W51" i="8"/>
  <c r="X51" i="8"/>
  <c r="Y51" i="8"/>
  <c r="Z51" i="8"/>
  <c r="AA51" i="8"/>
  <c r="AB51" i="8"/>
  <c r="J52" i="8"/>
  <c r="K52" i="8"/>
  <c r="L52" i="8"/>
  <c r="M52" i="8"/>
  <c r="N52" i="8"/>
  <c r="O52" i="8"/>
  <c r="P52" i="8"/>
  <c r="Q52" i="8"/>
  <c r="R52" i="8"/>
  <c r="S52" i="8"/>
  <c r="T52" i="8"/>
  <c r="U52" i="8"/>
  <c r="V52" i="8"/>
  <c r="W52" i="8"/>
  <c r="X52" i="8"/>
  <c r="Y52" i="8"/>
  <c r="Z52" i="8"/>
  <c r="AA52" i="8"/>
  <c r="AB52" i="8"/>
  <c r="J53" i="8"/>
  <c r="K53" i="8"/>
  <c r="L53" i="8"/>
  <c r="M53" i="8"/>
  <c r="N53" i="8"/>
  <c r="O53" i="8"/>
  <c r="P53" i="8"/>
  <c r="Q53" i="8"/>
  <c r="R53" i="8"/>
  <c r="S53" i="8"/>
  <c r="T53" i="8"/>
  <c r="U53" i="8"/>
  <c r="V53" i="8"/>
  <c r="W53" i="8"/>
  <c r="X53" i="8"/>
  <c r="Y53" i="8"/>
  <c r="Z53" i="8"/>
  <c r="AA53" i="8"/>
  <c r="AB53" i="8"/>
  <c r="J54" i="8"/>
  <c r="K54" i="8"/>
  <c r="L54" i="8"/>
  <c r="M54" i="8"/>
  <c r="N54" i="8"/>
  <c r="O54" i="8"/>
  <c r="P54" i="8"/>
  <c r="Q54" i="8"/>
  <c r="R54" i="8"/>
  <c r="S54" i="8"/>
  <c r="T54" i="8"/>
  <c r="U54" i="8"/>
  <c r="V54" i="8"/>
  <c r="W54" i="8"/>
  <c r="X54" i="8"/>
  <c r="Y54" i="8"/>
  <c r="Z54" i="8"/>
  <c r="AA54" i="8"/>
  <c r="AB54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J56" i="8"/>
  <c r="K56" i="8"/>
  <c r="L56" i="8"/>
  <c r="M56" i="8"/>
  <c r="N56" i="8"/>
  <c r="O56" i="8"/>
  <c r="P56" i="8"/>
  <c r="Q56" i="8"/>
  <c r="R56" i="8"/>
  <c r="S56" i="8"/>
  <c r="T56" i="8"/>
  <c r="U56" i="8"/>
  <c r="V56" i="8"/>
  <c r="W56" i="8"/>
  <c r="X56" i="8"/>
  <c r="Y56" i="8"/>
  <c r="Z56" i="8"/>
  <c r="AA56" i="8"/>
  <c r="AB56" i="8"/>
  <c r="J57" i="8"/>
  <c r="K57" i="8"/>
  <c r="L57" i="8"/>
  <c r="M57" i="8"/>
  <c r="N57" i="8"/>
  <c r="O57" i="8"/>
  <c r="P57" i="8"/>
  <c r="Q57" i="8"/>
  <c r="R57" i="8"/>
  <c r="S57" i="8"/>
  <c r="T57" i="8"/>
  <c r="U57" i="8"/>
  <c r="V57" i="8"/>
  <c r="W57" i="8"/>
  <c r="X57" i="8"/>
  <c r="Y57" i="8"/>
  <c r="Z57" i="8"/>
  <c r="AA57" i="8"/>
  <c r="AB57" i="8"/>
  <c r="J58" i="8"/>
  <c r="K58" i="8"/>
  <c r="L58" i="8"/>
  <c r="M58" i="8"/>
  <c r="N58" i="8"/>
  <c r="O58" i="8"/>
  <c r="P58" i="8"/>
  <c r="Q58" i="8"/>
  <c r="R58" i="8"/>
  <c r="S58" i="8"/>
  <c r="T58" i="8"/>
  <c r="U58" i="8"/>
  <c r="V58" i="8"/>
  <c r="W58" i="8"/>
  <c r="X58" i="8"/>
  <c r="Y58" i="8"/>
  <c r="Z58" i="8"/>
  <c r="AA58" i="8"/>
  <c r="AB58" i="8"/>
  <c r="J59" i="8"/>
  <c r="K59" i="8"/>
  <c r="L59" i="8"/>
  <c r="M59" i="8"/>
  <c r="N59" i="8"/>
  <c r="O59" i="8"/>
  <c r="P59" i="8"/>
  <c r="Q59" i="8"/>
  <c r="R59" i="8"/>
  <c r="S59" i="8"/>
  <c r="T59" i="8"/>
  <c r="U59" i="8"/>
  <c r="V59" i="8"/>
  <c r="W59" i="8"/>
  <c r="X59" i="8"/>
  <c r="Y59" i="8"/>
  <c r="Z59" i="8"/>
  <c r="AA59" i="8"/>
  <c r="AB59" i="8"/>
  <c r="J60" i="8"/>
  <c r="K60" i="8"/>
  <c r="L60" i="8"/>
  <c r="M60" i="8"/>
  <c r="N60" i="8"/>
  <c r="O60" i="8"/>
  <c r="P60" i="8"/>
  <c r="Q60" i="8"/>
  <c r="R60" i="8"/>
  <c r="S60" i="8"/>
  <c r="T60" i="8"/>
  <c r="U60" i="8"/>
  <c r="V60" i="8"/>
  <c r="W60" i="8"/>
  <c r="X60" i="8"/>
  <c r="Y60" i="8"/>
  <c r="Z60" i="8"/>
  <c r="AA60" i="8"/>
  <c r="AB60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Z61" i="8"/>
  <c r="AA61" i="8"/>
  <c r="AB61" i="8"/>
  <c r="J62" i="8"/>
  <c r="K62" i="8"/>
  <c r="L62" i="8"/>
  <c r="M62" i="8"/>
  <c r="N62" i="8"/>
  <c r="O62" i="8"/>
  <c r="P62" i="8"/>
  <c r="Q62" i="8"/>
  <c r="R62" i="8"/>
  <c r="S62" i="8"/>
  <c r="T62" i="8"/>
  <c r="U62" i="8"/>
  <c r="V62" i="8"/>
  <c r="W62" i="8"/>
  <c r="X62" i="8"/>
  <c r="Y62" i="8"/>
  <c r="Z62" i="8"/>
  <c r="AA62" i="8"/>
  <c r="AB62" i="8"/>
  <c r="J63" i="8"/>
  <c r="K63" i="8"/>
  <c r="L63" i="8"/>
  <c r="M63" i="8"/>
  <c r="N63" i="8"/>
  <c r="O63" i="8"/>
  <c r="P63" i="8"/>
  <c r="Q63" i="8"/>
  <c r="R63" i="8"/>
  <c r="S63" i="8"/>
  <c r="T63" i="8"/>
  <c r="U63" i="8"/>
  <c r="V63" i="8"/>
  <c r="W63" i="8"/>
  <c r="X63" i="8"/>
  <c r="Y63" i="8"/>
  <c r="Z63" i="8"/>
  <c r="AA63" i="8"/>
  <c r="AB63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Z65" i="8"/>
  <c r="AA65" i="8"/>
  <c r="AB65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Z66" i="8"/>
  <c r="AA66" i="8"/>
  <c r="AB66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Z67" i="8"/>
  <c r="AA67" i="8"/>
  <c r="AB67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Z68" i="8"/>
  <c r="AA68" i="8"/>
  <c r="AB68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Z69" i="8"/>
  <c r="AA69" i="8"/>
  <c r="AB69" i="8"/>
  <c r="J70" i="8"/>
  <c r="K70" i="8"/>
  <c r="L70" i="8"/>
  <c r="M70" i="8"/>
  <c r="N70" i="8"/>
  <c r="O70" i="8"/>
  <c r="P70" i="8"/>
  <c r="Q70" i="8"/>
  <c r="R70" i="8"/>
  <c r="S70" i="8"/>
  <c r="T70" i="8"/>
  <c r="U70" i="8"/>
  <c r="V70" i="8"/>
  <c r="W70" i="8"/>
  <c r="X70" i="8"/>
  <c r="Y70" i="8"/>
  <c r="Z70" i="8"/>
  <c r="AA70" i="8"/>
  <c r="AB70" i="8"/>
  <c r="J71" i="8"/>
  <c r="K71" i="8"/>
  <c r="L71" i="8"/>
  <c r="M71" i="8"/>
  <c r="N71" i="8"/>
  <c r="O71" i="8"/>
  <c r="P71" i="8"/>
  <c r="Q71" i="8"/>
  <c r="R71" i="8"/>
  <c r="S71" i="8"/>
  <c r="T71" i="8"/>
  <c r="U71" i="8"/>
  <c r="V71" i="8"/>
  <c r="W71" i="8"/>
  <c r="X71" i="8"/>
  <c r="Y71" i="8"/>
  <c r="Z71" i="8"/>
  <c r="AA71" i="8"/>
  <c r="AB71" i="8"/>
  <c r="J72" i="8"/>
  <c r="K72" i="8"/>
  <c r="L72" i="8"/>
  <c r="M72" i="8"/>
  <c r="N72" i="8"/>
  <c r="O72" i="8"/>
  <c r="P72" i="8"/>
  <c r="Q72" i="8"/>
  <c r="R72" i="8"/>
  <c r="S72" i="8"/>
  <c r="T72" i="8"/>
  <c r="U72" i="8"/>
  <c r="V72" i="8"/>
  <c r="W72" i="8"/>
  <c r="X72" i="8"/>
  <c r="Y72" i="8"/>
  <c r="Z72" i="8"/>
  <c r="AA72" i="8"/>
  <c r="AB72" i="8"/>
  <c r="K40" i="8"/>
  <c r="L40" i="8"/>
  <c r="M40" i="8"/>
  <c r="N40" i="8"/>
  <c r="O40" i="8"/>
  <c r="P40" i="8"/>
  <c r="Q40" i="8"/>
  <c r="R40" i="8"/>
  <c r="S40" i="8"/>
  <c r="T40" i="8"/>
  <c r="U40" i="8"/>
  <c r="V40" i="8"/>
  <c r="W40" i="8"/>
  <c r="X40" i="8"/>
  <c r="Y40" i="8"/>
  <c r="Z40" i="8"/>
  <c r="AA40" i="8"/>
  <c r="AB40" i="8"/>
  <c r="J40" i="8"/>
  <c r="T42" i="8"/>
  <c r="O33" i="12"/>
  <c r="S33" i="12"/>
  <c r="R33" i="12"/>
  <c r="N34" i="12"/>
  <c r="L34" i="12"/>
  <c r="Q33" i="12"/>
  <c r="J34" i="12"/>
  <c r="M34" i="12"/>
  <c r="P33" i="12"/>
  <c r="K34" i="12"/>
  <c r="O34" i="12"/>
  <c r="W28" i="12" l="1"/>
  <c r="V28" i="12"/>
  <c r="W33" i="12"/>
  <c r="V33" i="12"/>
  <c r="X34" i="12"/>
  <c r="U34" i="12"/>
  <c r="T34" i="12"/>
  <c r="H35" i="12"/>
  <c r="K42" i="8"/>
  <c r="L42" i="8"/>
  <c r="M42" i="8"/>
  <c r="N42" i="8"/>
  <c r="O42" i="8"/>
  <c r="P42" i="8"/>
  <c r="Q42" i="8"/>
  <c r="R42" i="8"/>
  <c r="S42" i="8"/>
  <c r="U42" i="8"/>
  <c r="V42" i="8"/>
  <c r="W42" i="8"/>
  <c r="X42" i="8"/>
  <c r="Y42" i="8"/>
  <c r="Z42" i="8"/>
  <c r="AA42" i="8"/>
  <c r="AB42" i="8"/>
  <c r="J42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Z41" i="8"/>
  <c r="AA41" i="8"/>
  <c r="AB41" i="8"/>
  <c r="P34" i="12"/>
  <c r="L35" i="12"/>
  <c r="J35" i="12"/>
  <c r="Q34" i="12"/>
  <c r="R34" i="12"/>
  <c r="M35" i="12"/>
  <c r="N35" i="12"/>
  <c r="S34" i="12"/>
  <c r="K35" i="12"/>
  <c r="W34" i="12" l="1"/>
  <c r="V34" i="12"/>
  <c r="X35" i="12"/>
  <c r="U35" i="12"/>
  <c r="T35" i="12"/>
  <c r="H36" i="12"/>
  <c r="H2" i="9"/>
  <c r="O35" i="12"/>
  <c r="R35" i="12"/>
  <c r="M36" i="12"/>
  <c r="J36" i="12"/>
  <c r="Q35" i="12"/>
  <c r="N36" i="12"/>
  <c r="S35" i="12"/>
  <c r="L36" i="12"/>
  <c r="P35" i="12"/>
  <c r="O36" i="12"/>
  <c r="K36" i="12"/>
  <c r="V35" i="12" l="1"/>
  <c r="W35" i="12"/>
  <c r="X36" i="12"/>
  <c r="U36" i="12"/>
  <c r="T36" i="12"/>
  <c r="H37" i="12"/>
  <c r="O118" i="9"/>
  <c r="R36" i="12"/>
  <c r="P36" i="12"/>
  <c r="S36" i="12"/>
  <c r="M37" i="12"/>
  <c r="J37" i="12"/>
  <c r="L37" i="12"/>
  <c r="N37" i="12"/>
  <c r="K37" i="12"/>
  <c r="Q36" i="12"/>
  <c r="V36" i="12" l="1"/>
  <c r="W36" i="12"/>
  <c r="T37" i="12"/>
  <c r="U37" i="12"/>
  <c r="X37" i="12"/>
  <c r="H38" i="12"/>
  <c r="E8" i="9"/>
  <c r="F8" i="9"/>
  <c r="E11" i="9"/>
  <c r="F11" i="9"/>
  <c r="E14" i="9"/>
  <c r="F14" i="9"/>
  <c r="E17" i="9"/>
  <c r="F17" i="9"/>
  <c r="E20" i="9"/>
  <c r="F20" i="9"/>
  <c r="E23" i="9"/>
  <c r="F23" i="9"/>
  <c r="E26" i="9"/>
  <c r="F26" i="9"/>
  <c r="E29" i="9"/>
  <c r="F29" i="9"/>
  <c r="E32" i="9"/>
  <c r="F32" i="9"/>
  <c r="E35" i="9"/>
  <c r="F35" i="9"/>
  <c r="F5" i="9"/>
  <c r="E5" i="9"/>
  <c r="D8" i="9"/>
  <c r="D11" i="9"/>
  <c r="D14" i="9"/>
  <c r="D17" i="9"/>
  <c r="D20" i="9"/>
  <c r="D23" i="9"/>
  <c r="D26" i="9"/>
  <c r="D29" i="9"/>
  <c r="D32" i="9"/>
  <c r="D35" i="9"/>
  <c r="D5" i="9"/>
  <c r="C8" i="9"/>
  <c r="C11" i="9"/>
  <c r="C14" i="9"/>
  <c r="C17" i="9"/>
  <c r="C20" i="9"/>
  <c r="C23" i="9"/>
  <c r="C26" i="9"/>
  <c r="C29" i="9"/>
  <c r="C32" i="9"/>
  <c r="C35" i="9"/>
  <c r="C5" i="9"/>
  <c r="B35" i="9"/>
  <c r="B32" i="9"/>
  <c r="B29" i="9"/>
  <c r="B26" i="9"/>
  <c r="B23" i="9"/>
  <c r="B20" i="9"/>
  <c r="B17" i="9"/>
  <c r="B14" i="9"/>
  <c r="B11" i="9"/>
  <c r="B8" i="9"/>
  <c r="B5" i="9"/>
  <c r="O37" i="12"/>
  <c r="J38" i="12"/>
  <c r="K38" i="12"/>
  <c r="R37" i="12"/>
  <c r="Q37" i="12"/>
  <c r="M38" i="12"/>
  <c r="L38" i="12"/>
  <c r="S37" i="12"/>
  <c r="P37" i="12"/>
  <c r="O38" i="12"/>
  <c r="N38" i="12"/>
  <c r="W37" i="12" l="1"/>
  <c r="V37" i="12"/>
  <c r="U38" i="12"/>
  <c r="T38" i="12"/>
  <c r="X38" i="12"/>
  <c r="H39" i="12"/>
  <c r="H62" i="9"/>
  <c r="U53" i="9"/>
  <c r="X53" i="9"/>
  <c r="U71" i="9"/>
  <c r="X47" i="9"/>
  <c r="X50" i="9"/>
  <c r="U50" i="9"/>
  <c r="U41" i="9"/>
  <c r="X41" i="9"/>
  <c r="H41" i="9"/>
  <c r="U56" i="9"/>
  <c r="X56" i="9"/>
  <c r="U65" i="9"/>
  <c r="X65" i="9"/>
  <c r="K41" i="9"/>
  <c r="K62" i="9"/>
  <c r="K59" i="9"/>
  <c r="K47" i="9"/>
  <c r="H59" i="9"/>
  <c r="H47" i="9"/>
  <c r="H65" i="9"/>
  <c r="K56" i="9"/>
  <c r="H56" i="9"/>
  <c r="K53" i="9"/>
  <c r="H53" i="9"/>
  <c r="H50" i="9"/>
  <c r="K50" i="9"/>
  <c r="K65" i="9"/>
  <c r="K44" i="9"/>
  <c r="H44" i="9"/>
  <c r="X68" i="9"/>
  <c r="K71" i="9"/>
  <c r="H71" i="9"/>
  <c r="K39" i="12"/>
  <c r="Q38" i="12"/>
  <c r="J39" i="12"/>
  <c r="S38" i="12"/>
  <c r="M39" i="12"/>
  <c r="N39" i="12"/>
  <c r="R38" i="12"/>
  <c r="P38" i="12"/>
  <c r="L39" i="12"/>
  <c r="V38" i="12" l="1"/>
  <c r="W38" i="12"/>
  <c r="U39" i="12"/>
  <c r="T39" i="12"/>
  <c r="X39" i="12"/>
  <c r="H40" i="12"/>
  <c r="X62" i="9"/>
  <c r="P68" i="9"/>
  <c r="AO54" i="9"/>
  <c r="AR54" i="9"/>
  <c r="AR42" i="9"/>
  <c r="P65" i="9"/>
  <c r="P53" i="9"/>
  <c r="U62" i="9"/>
  <c r="U59" i="9"/>
  <c r="U44" i="9"/>
  <c r="X59" i="9"/>
  <c r="X44" i="9"/>
  <c r="U47" i="9"/>
  <c r="K68" i="9"/>
  <c r="AN54" i="9"/>
  <c r="P62" i="9"/>
  <c r="T53" i="9"/>
  <c r="R53" i="9"/>
  <c r="O39" i="12"/>
  <c r="P39" i="12"/>
  <c r="Q39" i="12"/>
  <c r="J40" i="12"/>
  <c r="N40" i="12"/>
  <c r="L40" i="12"/>
  <c r="K40" i="12"/>
  <c r="M40" i="12"/>
  <c r="R39" i="12"/>
  <c r="O40" i="12"/>
  <c r="S39" i="12"/>
  <c r="W39" i="12" l="1"/>
  <c r="V39" i="12"/>
  <c r="T40" i="12"/>
  <c r="X40" i="12"/>
  <c r="U40" i="12"/>
  <c r="H41" i="12"/>
  <c r="BI61" i="9"/>
  <c r="AO60" i="9"/>
  <c r="BI55" i="9"/>
  <c r="BL55" i="9"/>
  <c r="BI58" i="9"/>
  <c r="AO57" i="9"/>
  <c r="BL58" i="9"/>
  <c r="BL52" i="9"/>
  <c r="AR57" i="9"/>
  <c r="AR51" i="9"/>
  <c r="BI46" i="9"/>
  <c r="BL46" i="9"/>
  <c r="BL43" i="9"/>
  <c r="AO45" i="9"/>
  <c r="AR45" i="9"/>
  <c r="BI43" i="9"/>
  <c r="AO42" i="9"/>
  <c r="BL61" i="9"/>
  <c r="BI52" i="9"/>
  <c r="BI49" i="9"/>
  <c r="BL49" i="9"/>
  <c r="AR60" i="9"/>
  <c r="AO51" i="9"/>
  <c r="AO48" i="9"/>
  <c r="AR48" i="9"/>
  <c r="X71" i="9"/>
  <c r="H68" i="9"/>
  <c r="AO63" i="9"/>
  <c r="AY70" i="9"/>
  <c r="AY49" i="9"/>
  <c r="BG55" i="9"/>
  <c r="AV52" i="9"/>
  <c r="BD70" i="9"/>
  <c r="AV64" i="9"/>
  <c r="AV67" i="9"/>
  <c r="AY52" i="9"/>
  <c r="AV61" i="9"/>
  <c r="AV58" i="9"/>
  <c r="AY61" i="9"/>
  <c r="AY58" i="9"/>
  <c r="AV73" i="9"/>
  <c r="AY64" i="9"/>
  <c r="BE55" i="9"/>
  <c r="BD64" i="9"/>
  <c r="BI73" i="9"/>
  <c r="AV46" i="9"/>
  <c r="BM55" i="9"/>
  <c r="BK55" i="9"/>
  <c r="BF55" i="9"/>
  <c r="BI67" i="9"/>
  <c r="BL67" i="9"/>
  <c r="BJ55" i="9"/>
  <c r="AY46" i="9"/>
  <c r="BD67" i="9"/>
  <c r="AV49" i="9"/>
  <c r="BL70" i="9"/>
  <c r="AY73" i="9"/>
  <c r="AY67" i="9"/>
  <c r="AY55" i="9"/>
  <c r="AV55" i="9"/>
  <c r="BH55" i="9"/>
  <c r="AL54" i="9"/>
  <c r="AY43" i="9"/>
  <c r="AV43" i="9"/>
  <c r="AR66" i="9"/>
  <c r="AM54" i="9"/>
  <c r="AA72" i="9"/>
  <c r="AE66" i="9"/>
  <c r="AB51" i="9"/>
  <c r="AE57" i="9"/>
  <c r="V53" i="9"/>
  <c r="AA54" i="9"/>
  <c r="AJ72" i="9"/>
  <c r="AS54" i="9"/>
  <c r="AB45" i="9"/>
  <c r="AE63" i="9"/>
  <c r="AE45" i="9"/>
  <c r="AB48" i="9"/>
  <c r="AC54" i="9"/>
  <c r="W53" i="9"/>
  <c r="AI54" i="9"/>
  <c r="AO66" i="9"/>
  <c r="AB63" i="9"/>
  <c r="AE48" i="9"/>
  <c r="AE54" i="9"/>
  <c r="AB60" i="9"/>
  <c r="AF54" i="9"/>
  <c r="AA63" i="9"/>
  <c r="AG54" i="9"/>
  <c r="AJ69" i="9"/>
  <c r="AK57" i="9"/>
  <c r="AB72" i="9"/>
  <c r="S53" i="9"/>
  <c r="AD54" i="9"/>
  <c r="AJ63" i="9"/>
  <c r="AO72" i="9"/>
  <c r="AK54" i="9"/>
  <c r="Y53" i="9"/>
  <c r="Q53" i="9"/>
  <c r="AH54" i="9"/>
  <c r="AA42" i="9"/>
  <c r="AJ66" i="9"/>
  <c r="AI42" i="9"/>
  <c r="AR69" i="9"/>
  <c r="AQ54" i="9"/>
  <c r="AP54" i="9"/>
  <c r="AE72" i="9"/>
  <c r="AE69" i="9"/>
  <c r="AB66" i="9"/>
  <c r="AE51" i="9"/>
  <c r="AB54" i="9"/>
  <c r="AB57" i="9"/>
  <c r="AE60" i="9"/>
  <c r="AE42" i="9"/>
  <c r="AB42" i="9"/>
  <c r="R40" i="12"/>
  <c r="J41" i="12"/>
  <c r="M41" i="12"/>
  <c r="K41" i="12"/>
  <c r="N41" i="12"/>
  <c r="S40" i="12"/>
  <c r="Q40" i="12"/>
  <c r="P40" i="12"/>
  <c r="O41" i="12"/>
  <c r="L41" i="12"/>
  <c r="W40" i="12" l="1"/>
  <c r="V40" i="12"/>
  <c r="X41" i="12"/>
  <c r="X42" i="12" s="1"/>
  <c r="U41" i="12"/>
  <c r="U42" i="12" s="1"/>
  <c r="T41" i="12"/>
  <c r="T42" i="12" s="1"/>
  <c r="BD55" i="9"/>
  <c r="AJ54" i="9"/>
  <c r="U68" i="9"/>
  <c r="P44" i="9"/>
  <c r="P56" i="9"/>
  <c r="P41" i="9"/>
  <c r="BI64" i="9"/>
  <c r="AP42" i="9"/>
  <c r="AS42" i="9"/>
  <c r="AB69" i="9"/>
  <c r="AD42" i="9"/>
  <c r="AN42" i="9"/>
  <c r="AH42" i="9"/>
  <c r="AC42" i="9"/>
  <c r="AM42" i="9"/>
  <c r="AL42" i="9"/>
  <c r="AR63" i="9"/>
  <c r="AF42" i="9"/>
  <c r="AG42" i="9"/>
  <c r="AQ42" i="9"/>
  <c r="AK42" i="9"/>
  <c r="T41" i="9"/>
  <c r="S41" i="9"/>
  <c r="V41" i="9"/>
  <c r="Q41" i="9"/>
  <c r="Y41" i="9"/>
  <c r="R41" i="9"/>
  <c r="W41" i="9"/>
  <c r="Q41" i="12"/>
  <c r="R41" i="12"/>
  <c r="P41" i="12"/>
  <c r="S41" i="12"/>
  <c r="W41" i="12" l="1"/>
  <c r="W42" i="12" s="1"/>
  <c r="V41" i="12"/>
  <c r="V42" i="12" s="1"/>
  <c r="BD73" i="9"/>
  <c r="P71" i="9"/>
  <c r="P47" i="9"/>
  <c r="P50" i="9"/>
  <c r="P59" i="9"/>
  <c r="L53" i="9"/>
  <c r="T65" i="9"/>
  <c r="S44" i="9"/>
  <c r="AH51" i="9"/>
  <c r="T62" i="9"/>
  <c r="AD63" i="9"/>
  <c r="AH48" i="9"/>
  <c r="G62" i="9"/>
  <c r="V44" i="9"/>
  <c r="V56" i="9"/>
  <c r="AC72" i="9"/>
  <c r="W56" i="9"/>
  <c r="AC48" i="9"/>
  <c r="AH60" i="9"/>
  <c r="AC63" i="9"/>
  <c r="N53" i="9"/>
  <c r="BF43" i="9"/>
  <c r="Y50" i="9"/>
  <c r="V50" i="9"/>
  <c r="N41" i="9"/>
  <c r="AC66" i="9"/>
  <c r="AI60" i="9"/>
  <c r="AD48" i="9"/>
  <c r="T56" i="9"/>
  <c r="AP72" i="9"/>
  <c r="S56" i="9"/>
  <c r="AA51" i="9"/>
  <c r="AN72" i="9"/>
  <c r="AI63" i="9"/>
  <c r="AD69" i="9"/>
  <c r="BG43" i="9"/>
  <c r="AD60" i="9"/>
  <c r="V65" i="9"/>
  <c r="S68" i="9"/>
  <c r="BH43" i="9"/>
  <c r="AD72" i="9"/>
  <c r="R68" i="9"/>
  <c r="AV70" i="9"/>
  <c r="AA69" i="9"/>
  <c r="W47" i="9"/>
  <c r="S62" i="9"/>
  <c r="V59" i="9"/>
  <c r="R50" i="9"/>
  <c r="AG69" i="9"/>
  <c r="S50" i="9"/>
  <c r="AF69" i="9"/>
  <c r="Y56" i="9"/>
  <c r="Y62" i="9"/>
  <c r="AF63" i="9"/>
  <c r="S59" i="9"/>
  <c r="Q59" i="9"/>
  <c r="V62" i="9"/>
  <c r="T59" i="9"/>
  <c r="AI48" i="9"/>
  <c r="Y47" i="9"/>
  <c r="AD51" i="9"/>
  <c r="AG60" i="9"/>
  <c r="V68" i="9"/>
  <c r="Y65" i="9"/>
  <c r="AG57" i="9"/>
  <c r="M41" i="9"/>
  <c r="R47" i="9"/>
  <c r="Q65" i="9"/>
  <c r="Q47" i="9"/>
  <c r="AG72" i="9"/>
  <c r="I53" i="9"/>
  <c r="AG63" i="9"/>
  <c r="AA48" i="9"/>
  <c r="R59" i="9"/>
  <c r="AF57" i="9"/>
  <c r="W71" i="9"/>
  <c r="AG45" i="9"/>
  <c r="AI57" i="9"/>
  <c r="AF66" i="9"/>
  <c r="W44" i="9"/>
  <c r="S47" i="9"/>
  <c r="AG48" i="9"/>
  <c r="AF60" i="9"/>
  <c r="T68" i="9"/>
  <c r="T47" i="9"/>
  <c r="AF72" i="9"/>
  <c r="O41" i="9"/>
  <c r="AC51" i="9"/>
  <c r="W50" i="9"/>
  <c r="BE43" i="9"/>
  <c r="T50" i="9"/>
  <c r="AC60" i="9"/>
  <c r="Y44" i="9"/>
  <c r="AI66" i="9"/>
  <c r="AH63" i="9"/>
  <c r="R62" i="9"/>
  <c r="Q62" i="9"/>
  <c r="AA57" i="9"/>
  <c r="Q50" i="9"/>
  <c r="W62" i="9"/>
  <c r="AA66" i="9"/>
  <c r="Y59" i="9"/>
  <c r="AD45" i="9"/>
  <c r="AH45" i="9"/>
  <c r="AH66" i="9"/>
  <c r="R65" i="9"/>
  <c r="AD66" i="9"/>
  <c r="Q68" i="9"/>
  <c r="BM43" i="9"/>
  <c r="BL64" i="9"/>
  <c r="T44" i="9"/>
  <c r="BJ43" i="9"/>
  <c r="AD57" i="9"/>
  <c r="AH72" i="9"/>
  <c r="W68" i="9"/>
  <c r="AI51" i="9"/>
  <c r="W59" i="9"/>
  <c r="AA45" i="9"/>
  <c r="AI45" i="9"/>
  <c r="Y68" i="9"/>
  <c r="AR72" i="9"/>
  <c r="AC45" i="9"/>
  <c r="AC57" i="9"/>
  <c r="G53" i="9"/>
  <c r="AH57" i="9"/>
  <c r="W65" i="9"/>
  <c r="AH69" i="9"/>
  <c r="R71" i="9"/>
  <c r="V47" i="9"/>
  <c r="Q44" i="9"/>
  <c r="BK43" i="9"/>
  <c r="AF51" i="9"/>
  <c r="AC69" i="9"/>
  <c r="AG66" i="9"/>
  <c r="AF45" i="9"/>
  <c r="AG51" i="9"/>
  <c r="R44" i="9"/>
  <c r="AA60" i="9"/>
  <c r="S71" i="9"/>
  <c r="J53" i="9"/>
  <c r="Q71" i="9"/>
  <c r="S65" i="9"/>
  <c r="R56" i="9"/>
  <c r="AQ45" i="9"/>
  <c r="AQ51" i="9"/>
  <c r="AP48" i="9"/>
  <c r="AM51" i="9"/>
  <c r="AL45" i="9"/>
  <c r="AQ72" i="9"/>
  <c r="AM45" i="9"/>
  <c r="AL72" i="9"/>
  <c r="AL69" i="9"/>
  <c r="AQ63" i="9"/>
  <c r="AQ60" i="9"/>
  <c r="BE58" i="9"/>
  <c r="AS48" i="9"/>
  <c r="I62" i="9"/>
  <c r="AN60" i="9"/>
  <c r="AN69" i="9"/>
  <c r="AN45" i="9"/>
  <c r="AN48" i="9"/>
  <c r="AL60" i="9"/>
  <c r="AL51" i="9"/>
  <c r="AM66" i="9"/>
  <c r="AQ57" i="9"/>
  <c r="AO69" i="9"/>
  <c r="AP51" i="9"/>
  <c r="AX43" i="9"/>
  <c r="Y71" i="9"/>
  <c r="AF48" i="9"/>
  <c r="Q56" i="9"/>
  <c r="J41" i="9"/>
  <c r="BD46" i="9" l="1"/>
  <c r="BD61" i="9"/>
  <c r="BD43" i="9"/>
  <c r="BD49" i="9"/>
  <c r="BD58" i="9"/>
  <c r="BD52" i="9"/>
  <c r="I68" i="9"/>
  <c r="M68" i="9"/>
  <c r="AJ45" i="9"/>
  <c r="AJ60" i="9"/>
  <c r="AJ42" i="9"/>
  <c r="AJ48" i="9"/>
  <c r="AJ57" i="9"/>
  <c r="AJ51" i="9"/>
  <c r="I65" i="9"/>
  <c r="N65" i="9"/>
  <c r="L65" i="9"/>
  <c r="O62" i="9"/>
  <c r="I56" i="9"/>
  <c r="O47" i="9"/>
  <c r="J47" i="9"/>
  <c r="M44" i="9"/>
  <c r="I44" i="9"/>
  <c r="O44" i="9"/>
  <c r="AP66" i="9"/>
  <c r="I59" i="9"/>
  <c r="I47" i="9"/>
  <c r="L44" i="9"/>
  <c r="O56" i="9"/>
  <c r="G47" i="9"/>
  <c r="L68" i="9"/>
  <c r="J62" i="9"/>
  <c r="G50" i="9"/>
  <c r="M65" i="9"/>
  <c r="I50" i="9"/>
  <c r="L71" i="9"/>
  <c r="AU55" i="9"/>
  <c r="AZ43" i="9"/>
  <c r="BC55" i="9"/>
  <c r="BC43" i="9"/>
  <c r="BH73" i="9"/>
  <c r="BA55" i="9"/>
  <c r="AW55" i="9"/>
  <c r="AU73" i="9"/>
  <c r="AX55" i="9"/>
  <c r="BL73" i="9"/>
  <c r="BB43" i="9"/>
  <c r="AU64" i="9"/>
  <c r="AZ55" i="9"/>
  <c r="AU43" i="9"/>
  <c r="AW43" i="9"/>
  <c r="BJ73" i="9"/>
  <c r="BA43" i="9"/>
  <c r="BB55" i="9"/>
  <c r="M53" i="9"/>
  <c r="T71" i="9"/>
  <c r="G41" i="9"/>
  <c r="I41" i="9"/>
  <c r="L41" i="9"/>
  <c r="G71" i="9"/>
  <c r="O53" i="9"/>
  <c r="V71" i="9"/>
  <c r="AS72" i="9"/>
  <c r="BK52" i="9"/>
  <c r="BJ49" i="9"/>
  <c r="BK46" i="9"/>
  <c r="BF46" i="9"/>
  <c r="BG52" i="9"/>
  <c r="BK73" i="9"/>
  <c r="BJ61" i="9"/>
  <c r="BE49" i="9"/>
  <c r="BF58" i="9"/>
  <c r="BE64" i="9"/>
  <c r="BM46" i="9"/>
  <c r="BH58" i="9"/>
  <c r="BF73" i="9"/>
  <c r="BK64" i="9"/>
  <c r="BF70" i="9"/>
  <c r="BG46" i="9"/>
  <c r="AK63" i="9"/>
  <c r="AP60" i="9"/>
  <c r="AS45" i="9"/>
  <c r="AK48" i="9"/>
  <c r="AN57" i="9"/>
  <c r="AL57" i="9"/>
  <c r="BH49" i="9"/>
  <c r="BF52" i="9"/>
  <c r="BH70" i="9"/>
  <c r="BK61" i="9"/>
  <c r="BJ52" i="9"/>
  <c r="BH46" i="9"/>
  <c r="BJ58" i="9"/>
  <c r="BJ46" i="9"/>
  <c r="BG67" i="9"/>
  <c r="BM70" i="9"/>
  <c r="AZ49" i="9"/>
  <c r="BI70" i="9"/>
  <c r="BJ64" i="9"/>
  <c r="BF61" i="9"/>
  <c r="BG49" i="9"/>
  <c r="BG61" i="9"/>
  <c r="BK58" i="9"/>
  <c r="BH61" i="9"/>
  <c r="BM73" i="9"/>
  <c r="AW64" i="9"/>
  <c r="BM49" i="9"/>
  <c r="AM60" i="9"/>
  <c r="AP45" i="9"/>
  <c r="AP57" i="9"/>
  <c r="AM48" i="9"/>
  <c r="AS69" i="9"/>
  <c r="L47" i="9"/>
  <c r="AP63" i="9"/>
  <c r="BA70" i="9" l="1"/>
  <c r="AW70" i="9"/>
  <c r="AU70" i="9"/>
  <c r="G68" i="9"/>
  <c r="AW73" i="9"/>
  <c r="I71" i="9"/>
  <c r="AU67" i="9"/>
  <c r="BB67" i="9"/>
  <c r="BC67" i="9"/>
  <c r="AZ67" i="9"/>
  <c r="AW67" i="9"/>
  <c r="G65" i="9"/>
  <c r="O65" i="9"/>
  <c r="AZ64" i="9"/>
  <c r="BC64" i="9"/>
  <c r="L62" i="9"/>
  <c r="BC61" i="9"/>
  <c r="AU61" i="9"/>
  <c r="AZ61" i="9"/>
  <c r="AX61" i="9"/>
  <c r="O59" i="9"/>
  <c r="G59" i="9"/>
  <c r="L59" i="9"/>
  <c r="J59" i="9"/>
  <c r="AZ58" i="9"/>
  <c r="AW58" i="9"/>
  <c r="AX58" i="9"/>
  <c r="BB58" i="9"/>
  <c r="L56" i="9"/>
  <c r="J56" i="9"/>
  <c r="N56" i="9"/>
  <c r="AZ52" i="9"/>
  <c r="BB52" i="9"/>
  <c r="BC52" i="9"/>
  <c r="N50" i="9"/>
  <c r="L50" i="9"/>
  <c r="O50" i="9"/>
  <c r="BA49" i="9"/>
  <c r="AX49" i="9"/>
  <c r="BC49" i="9"/>
  <c r="M47" i="9"/>
  <c r="AU46" i="9"/>
  <c r="BA46" i="9"/>
  <c r="BC46" i="9"/>
  <c r="BB46" i="9"/>
  <c r="AW46" i="9"/>
  <c r="G44" i="9"/>
  <c r="N44" i="9"/>
  <c r="AX70" i="9"/>
  <c r="BA67" i="9"/>
  <c r="BH67" i="9"/>
  <c r="AZ73" i="9"/>
  <c r="BH52" i="9"/>
  <c r="BA73" i="9"/>
  <c r="BF49" i="9"/>
  <c r="AX46" i="9"/>
  <c r="BB64" i="9"/>
  <c r="AX64" i="9"/>
  <c r="BH64" i="9"/>
  <c r="AZ46" i="9"/>
  <c r="BG64" i="9"/>
  <c r="BK67" i="9"/>
  <c r="BA61" i="9"/>
  <c r="BG70" i="9"/>
  <c r="BK70" i="9"/>
  <c r="BF67" i="9"/>
  <c r="BE61" i="9"/>
  <c r="AU58" i="9"/>
  <c r="BM58" i="9"/>
  <c r="BM64" i="9"/>
  <c r="BG58" i="9"/>
  <c r="BE73" i="9"/>
  <c r="BM61" i="9"/>
  <c r="BA58" i="9"/>
  <c r="BJ70" i="9"/>
  <c r="BE52" i="9"/>
  <c r="AZ70" i="9"/>
  <c r="BB70" i="9"/>
  <c r="BE70" i="9"/>
  <c r="BE67" i="9"/>
  <c r="BG73" i="9"/>
  <c r="AX67" i="9"/>
  <c r="AU52" i="9"/>
  <c r="AU49" i="9"/>
  <c r="AX52" i="9"/>
  <c r="BB73" i="9"/>
  <c r="AW61" i="9"/>
  <c r="BF64" i="9"/>
  <c r="AW52" i="9"/>
  <c r="BB49" i="9"/>
  <c r="BM52" i="9"/>
  <c r="BA64" i="9"/>
  <c r="BJ67" i="9"/>
  <c r="AX73" i="9"/>
  <c r="BK49" i="9"/>
  <c r="BA52" i="9"/>
  <c r="BC58" i="9"/>
  <c r="BM67" i="9"/>
  <c r="AW49" i="9"/>
  <c r="BE46" i="9"/>
  <c r="J68" i="9"/>
  <c r="AN66" i="9"/>
  <c r="AN51" i="9"/>
  <c r="M71" i="9"/>
  <c r="AL48" i="9"/>
  <c r="J44" i="9"/>
  <c r="N62" i="9"/>
  <c r="AN63" i="9"/>
  <c r="AM63" i="9"/>
  <c r="AQ66" i="9"/>
  <c r="M59" i="9"/>
  <c r="AM69" i="9"/>
  <c r="AQ69" i="9"/>
  <c r="AL66" i="9"/>
  <c r="AK60" i="9"/>
  <c r="G56" i="9"/>
  <c r="AS57" i="9"/>
  <c r="AS63" i="9"/>
  <c r="AM57" i="9"/>
  <c r="AK72" i="9"/>
  <c r="AS60" i="9"/>
  <c r="M56" i="9"/>
  <c r="AP69" i="9"/>
  <c r="AK51" i="9"/>
  <c r="AK69" i="9"/>
  <c r="N68" i="9"/>
  <c r="AK66" i="9"/>
  <c r="AM72" i="9"/>
  <c r="J65" i="9"/>
  <c r="J50" i="9"/>
  <c r="N71" i="9"/>
  <c r="AL63" i="9"/>
  <c r="N47" i="9"/>
  <c r="AS51" i="9"/>
  <c r="M62" i="9"/>
  <c r="J71" i="9"/>
  <c r="AQ48" i="9"/>
  <c r="M50" i="9"/>
  <c r="AS66" i="9"/>
  <c r="AK45" i="9"/>
  <c r="BB61" i="9"/>
  <c r="N59" i="9"/>
</calcChain>
</file>

<file path=xl/sharedStrings.xml><?xml version="1.0" encoding="utf-8"?>
<sst xmlns="http://schemas.openxmlformats.org/spreadsheetml/2006/main" count="328" uniqueCount="172">
  <si>
    <t>1M</t>
  </si>
  <si>
    <t>2M</t>
  </si>
  <si>
    <t>3M</t>
  </si>
  <si>
    <t>6M</t>
  </si>
  <si>
    <t>9M</t>
  </si>
  <si>
    <t>1Y</t>
  </si>
  <si>
    <t>2Y</t>
  </si>
  <si>
    <t>5Y</t>
  </si>
  <si>
    <t>7Y</t>
  </si>
  <si>
    <t>10Y</t>
  </si>
  <si>
    <t>1W</t>
  </si>
  <si>
    <t>25RR</t>
    <phoneticPr fontId="1" type="noConversion"/>
  </si>
  <si>
    <t>10RR</t>
    <phoneticPr fontId="1" type="noConversion"/>
  </si>
  <si>
    <t>25STR</t>
    <phoneticPr fontId="1" type="noConversion"/>
  </si>
  <si>
    <t>10STR</t>
    <phoneticPr fontId="1" type="noConversion"/>
  </si>
  <si>
    <t>5 Call</t>
    <phoneticPr fontId="1" type="noConversion"/>
  </si>
  <si>
    <t>10 Call</t>
    <phoneticPr fontId="1" type="noConversion"/>
  </si>
  <si>
    <t>15 Call</t>
  </si>
  <si>
    <t>20 Call</t>
  </si>
  <si>
    <t>25 Call</t>
  </si>
  <si>
    <t>30 Call</t>
  </si>
  <si>
    <t>35 Call</t>
  </si>
  <si>
    <t>40 Call</t>
  </si>
  <si>
    <t>45 Call</t>
  </si>
  <si>
    <t>ATM</t>
    <phoneticPr fontId="1" type="noConversion"/>
  </si>
  <si>
    <t>45 Put</t>
    <phoneticPr fontId="1" type="noConversion"/>
  </si>
  <si>
    <t>40 Put</t>
    <phoneticPr fontId="1" type="noConversion"/>
  </si>
  <si>
    <t>35 Put</t>
  </si>
  <si>
    <t>30 Put</t>
  </si>
  <si>
    <t>25 Put</t>
  </si>
  <si>
    <t>20 Put</t>
  </si>
  <si>
    <t>15 Put</t>
  </si>
  <si>
    <t>10 Put</t>
  </si>
  <si>
    <t>5 Put</t>
  </si>
  <si>
    <t>USD/JPY SWAP PT</t>
  </si>
  <si>
    <t>O/N</t>
  </si>
  <si>
    <t>T/N</t>
  </si>
  <si>
    <t>USD/JPY SW PT N</t>
  </si>
  <si>
    <t>2W</t>
  </si>
  <si>
    <t>3W</t>
  </si>
  <si>
    <t>4M</t>
  </si>
  <si>
    <t>5M</t>
  </si>
  <si>
    <t>7M</t>
  </si>
  <si>
    <t>8M</t>
  </si>
  <si>
    <t>10M</t>
  </si>
  <si>
    <t>11M</t>
  </si>
  <si>
    <t>3Y</t>
  </si>
  <si>
    <t>4Y</t>
  </si>
  <si>
    <t>Start date</t>
    <phoneticPr fontId="1" type="noConversion"/>
  </si>
  <si>
    <t>Generator</t>
    <phoneticPr fontId="1" type="noConversion"/>
  </si>
  <si>
    <t>SOFRRATE</t>
  </si>
  <si>
    <t>\USD OIS SOFR</t>
  </si>
  <si>
    <t>18M</t>
  </si>
  <si>
    <t>6Y</t>
  </si>
  <si>
    <t>8Y</t>
  </si>
  <si>
    <t>9Y</t>
  </si>
  <si>
    <t>Expiry</t>
    <phoneticPr fontId="1" type="noConversion"/>
  </si>
  <si>
    <t>tau</t>
    <phoneticPr fontId="1" type="noConversion"/>
  </si>
  <si>
    <t>Dp</t>
  </si>
  <si>
    <t>Sw</t>
  </si>
  <si>
    <t>Mo: 7</t>
  </si>
  <si>
    <t>We: 30</t>
  </si>
  <si>
    <t>Th: 59</t>
  </si>
  <si>
    <t>Mo: 91</t>
  </si>
  <si>
    <t>Fr: 179</t>
  </si>
  <si>
    <t>Mo: 273</t>
  </si>
  <si>
    <t>Tu: 365</t>
  </si>
  <si>
    <t>Th: 731</t>
  </si>
  <si>
    <t>Fr: 1824</t>
  </si>
  <si>
    <t>We: 2557</t>
  </si>
  <si>
    <t>Fr: 3651</t>
  </si>
  <si>
    <t>Date</t>
    <phoneticPr fontId="1" type="noConversion"/>
  </si>
  <si>
    <t>Days Nb</t>
    <phoneticPr fontId="1" type="noConversion"/>
  </si>
  <si>
    <t>B/A spread</t>
    <phoneticPr fontId="1" type="noConversion"/>
  </si>
  <si>
    <t>Cut</t>
    <phoneticPr fontId="1" type="noConversion"/>
  </si>
  <si>
    <t>Vol Bid</t>
    <phoneticPr fontId="1" type="noConversion"/>
  </si>
  <si>
    <t>Vol Ask</t>
    <phoneticPr fontId="1" type="noConversion"/>
  </si>
  <si>
    <t>12Y</t>
  </si>
  <si>
    <t>15Y</t>
  </si>
  <si>
    <t>20Y</t>
  </si>
  <si>
    <t>25Y</t>
  </si>
  <si>
    <t>30Y</t>
  </si>
  <si>
    <t>40Y</t>
  </si>
  <si>
    <t>Dg</t>
  </si>
  <si>
    <t>Tp</t>
    <phoneticPr fontId="1" type="noConversion"/>
  </si>
  <si>
    <t>Maturity</t>
    <phoneticPr fontId="1" type="noConversion"/>
  </si>
  <si>
    <t>Mid ds.factor</t>
    <phoneticPr fontId="1" type="noConversion"/>
  </si>
  <si>
    <t>Mid ds.rate</t>
    <phoneticPr fontId="1" type="noConversion"/>
  </si>
  <si>
    <t>Market quote</t>
    <phoneticPr fontId="1" type="noConversion"/>
  </si>
  <si>
    <t>Curve spread</t>
    <phoneticPr fontId="1" type="noConversion"/>
  </si>
  <si>
    <t>Contracts</t>
    <phoneticPr fontId="1" type="noConversion"/>
  </si>
  <si>
    <t>USDJPY</t>
    <phoneticPr fontId="1" type="noConversion"/>
  </si>
  <si>
    <t>Smile quotation conventions</t>
    <phoneticPr fontId="1" type="noConversion"/>
  </si>
  <si>
    <t>Smile for a call on</t>
    <phoneticPr fontId="1" type="noConversion"/>
  </si>
  <si>
    <t>Premium in delta</t>
    <phoneticPr fontId="1" type="noConversion"/>
  </si>
  <si>
    <t>Central point for short term</t>
    <phoneticPr fontId="1" type="noConversion"/>
  </si>
  <si>
    <t>Central point for long term</t>
    <phoneticPr fontId="1" type="noConversion"/>
  </si>
  <si>
    <t>Spot delta for short term</t>
    <phoneticPr fontId="1" type="noConversion"/>
  </si>
  <si>
    <t>Spot delta for long term</t>
    <phoneticPr fontId="1" type="noConversion"/>
  </si>
  <si>
    <t>Smile long convention(expiry&gt;)</t>
    <phoneticPr fontId="1" type="noConversion"/>
  </si>
  <si>
    <t>Broker Strangle</t>
    <phoneticPr fontId="1" type="noConversion"/>
  </si>
  <si>
    <t>Positive RR in favor of</t>
    <phoneticPr fontId="1" type="noConversion"/>
  </si>
  <si>
    <t>Smile Bid/Ask mode</t>
    <phoneticPr fontId="1" type="noConversion"/>
  </si>
  <si>
    <t>USD</t>
    <phoneticPr fontId="1" type="noConversion"/>
  </si>
  <si>
    <t>Yes</t>
    <phoneticPr fontId="1" type="noConversion"/>
  </si>
  <si>
    <t>ATM straddle</t>
    <phoneticPr fontId="1" type="noConversion"/>
  </si>
  <si>
    <t>ATM foeward(F=K)</t>
    <phoneticPr fontId="1" type="noConversion"/>
  </si>
  <si>
    <t>No</t>
    <phoneticPr fontId="1" type="noConversion"/>
  </si>
  <si>
    <t>1y</t>
    <phoneticPr fontId="1" type="noConversion"/>
  </si>
  <si>
    <t>Call</t>
    <phoneticPr fontId="1" type="noConversion"/>
  </si>
  <si>
    <t>Inherited</t>
    <phoneticPr fontId="1" type="noConversion"/>
  </si>
  <si>
    <t>Atm volatility conventions</t>
    <phoneticPr fontId="1" type="noConversion"/>
  </si>
  <si>
    <t>Correlation and volatility link</t>
    <phoneticPr fontId="1" type="noConversion"/>
  </si>
  <si>
    <t>Volatility convention</t>
    <phoneticPr fontId="1" type="noConversion"/>
  </si>
  <si>
    <t>Volatility Shift Mode</t>
    <phoneticPr fontId="1" type="noConversion"/>
  </si>
  <si>
    <t>Off</t>
    <phoneticPr fontId="1" type="noConversion"/>
  </si>
  <si>
    <t>Volatility on calender days</t>
    <phoneticPr fontId="1" type="noConversion"/>
  </si>
  <si>
    <t>Smile interpolation conventions</t>
    <phoneticPr fontId="1" type="noConversion"/>
  </si>
  <si>
    <t>Index</t>
    <phoneticPr fontId="1" type="noConversion"/>
  </si>
  <si>
    <t>Interpolation scale</t>
    <phoneticPr fontId="1" type="noConversion"/>
  </si>
  <si>
    <t>Spot delta for interpolation</t>
    <phoneticPr fontId="1" type="noConversion"/>
  </si>
  <si>
    <t>Iter</t>
    <phoneticPr fontId="1" type="noConversion"/>
  </si>
  <si>
    <t>Smile interpolation mode</t>
    <phoneticPr fontId="1" type="noConversion"/>
  </si>
  <si>
    <t>Sigma for smooth interpolation</t>
    <phoneticPr fontId="1" type="noConversion"/>
  </si>
  <si>
    <t>Smile interpolation method at bonds</t>
    <phoneticPr fontId="1" type="noConversion"/>
  </si>
  <si>
    <t>Use smile for</t>
    <phoneticPr fontId="1" type="noConversion"/>
  </si>
  <si>
    <t>Put</t>
    <phoneticPr fontId="1" type="noConversion"/>
  </si>
  <si>
    <t>Just write something to look balanced</t>
    <phoneticPr fontId="1" type="noConversion"/>
  </si>
  <si>
    <t>Spot</t>
    <phoneticPr fontId="1" type="noConversion"/>
  </si>
  <si>
    <t>USD/JPY</t>
    <phoneticPr fontId="1" type="noConversion"/>
  </si>
  <si>
    <t>USD-JPY</t>
    <phoneticPr fontId="1" type="noConversion"/>
  </si>
  <si>
    <t>Strike</t>
    <phoneticPr fontId="1" type="noConversion"/>
  </si>
  <si>
    <t>DeltaP</t>
    <phoneticPr fontId="1" type="noConversion"/>
  </si>
  <si>
    <t>Vol</t>
    <phoneticPr fontId="1" type="noConversion"/>
  </si>
  <si>
    <t>Put delta</t>
    <phoneticPr fontId="1" type="noConversion"/>
  </si>
  <si>
    <t>Vol</t>
    <phoneticPr fontId="1" type="noConversion"/>
  </si>
  <si>
    <t>5M</t>
    <phoneticPr fontId="1" type="noConversion"/>
  </si>
  <si>
    <t>Prem relative sq error</t>
    <phoneticPr fontId="1" type="noConversion"/>
  </si>
  <si>
    <t>Vol abs error</t>
    <phoneticPr fontId="1" type="noConversion"/>
  </si>
  <si>
    <t>Vol sq error</t>
    <phoneticPr fontId="1" type="noConversion"/>
  </si>
  <si>
    <t>Prem abs error</t>
    <phoneticPr fontId="1" type="noConversion"/>
  </si>
  <si>
    <t>Prem sq error</t>
    <phoneticPr fontId="1" type="noConversion"/>
  </si>
  <si>
    <t>Implied Vol</t>
    <phoneticPr fontId="1" type="noConversion"/>
  </si>
  <si>
    <t>LMUV Ext Premium</t>
    <phoneticPr fontId="1" type="noConversion"/>
  </si>
  <si>
    <t>LMUV Ext</t>
    <phoneticPr fontId="1" type="noConversion"/>
  </si>
  <si>
    <t>alpha2=</t>
    <phoneticPr fontId="1" type="noConversion"/>
  </si>
  <si>
    <t>alpha1=</t>
    <phoneticPr fontId="1" type="noConversion"/>
  </si>
  <si>
    <t>Sigma2=</t>
    <phoneticPr fontId="1" type="noConversion"/>
  </si>
  <si>
    <t>Sigma1=</t>
    <phoneticPr fontId="1" type="noConversion"/>
  </si>
  <si>
    <t>p2=</t>
    <phoneticPr fontId="1" type="noConversion"/>
  </si>
  <si>
    <t>p1=</t>
    <phoneticPr fontId="1" type="noConversion"/>
  </si>
  <si>
    <t>LMUV Ext Find p</t>
    <phoneticPr fontId="1" type="noConversion"/>
  </si>
  <si>
    <t>ATM</t>
  </si>
  <si>
    <t>10 Call</t>
  </si>
  <si>
    <t>rf</t>
    <phoneticPr fontId="1" type="noConversion"/>
  </si>
  <si>
    <t>rd</t>
    <phoneticPr fontId="1" type="noConversion"/>
  </si>
  <si>
    <t>Premium</t>
    <phoneticPr fontId="1" type="noConversion"/>
  </si>
  <si>
    <t>Black-Scholes</t>
    <phoneticPr fontId="1" type="noConversion"/>
  </si>
  <si>
    <t>Tenor</t>
    <phoneticPr fontId="1" type="noConversion"/>
  </si>
  <si>
    <t>rd</t>
    <phoneticPr fontId="1" type="noConversion"/>
  </si>
  <si>
    <t>rf</t>
    <phoneticPr fontId="1" type="noConversion"/>
  </si>
  <si>
    <t>vol</t>
    <phoneticPr fontId="1" type="noConversion"/>
  </si>
  <si>
    <t>spot</t>
    <phoneticPr fontId="1" type="noConversion"/>
  </si>
  <si>
    <t>strike</t>
    <phoneticPr fontId="1" type="noConversion"/>
  </si>
  <si>
    <t>Call NPV</t>
    <phoneticPr fontId="1" type="noConversion"/>
  </si>
  <si>
    <t>N(d1)</t>
    <phoneticPr fontId="1" type="noConversion"/>
  </si>
  <si>
    <t>N(d2)</t>
    <phoneticPr fontId="1" type="noConversion"/>
  </si>
  <si>
    <t>d1</t>
    <phoneticPr fontId="1" type="noConversion"/>
  </si>
  <si>
    <t>d2</t>
    <phoneticPr fontId="1" type="noConversion"/>
  </si>
  <si>
    <t>forward</t>
    <phoneticPr fontId="1" type="noConversion"/>
  </si>
  <si>
    <t>stddev</t>
    <phoneticPr fontId="1" type="noConversion"/>
  </si>
  <si>
    <t>discount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</si>
</sst>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);[Red]\(0.00\)"/>
    <numFmt numFmtId="177" formatCode="[$-409]d\-mmm\-yyyy;@"/>
    <numFmt numFmtId="178" formatCode="0.0000_);[Red]\(0.0000\)"/>
    <numFmt numFmtId="179" formatCode="0.0000"/>
    <numFmt numFmtId="180" formatCode="0.0000_ "/>
    <numFmt numFmtId="181" formatCode="0.000_ "/>
  </numFmts>
  <fonts count="1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Arial Unicode MS"/>
      <family val="2"/>
      <charset val="136"/>
    </font>
    <font>
      <sz val="12"/>
      <name val="Arial Unicode MS"/>
      <family val="2"/>
      <charset val="136"/>
    </font>
    <font>
      <sz val="12"/>
      <color theme="4" tint="0.59999389629810485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b/>
      <sz val="12"/>
      <color theme="4" tint="0.59999389629810485"/>
      <name val="Arial Unicode MS"/>
      <family val="2"/>
      <charset val="136"/>
    </font>
    <font>
      <sz val="20"/>
      <color rgb="FF000000"/>
      <name val="微軟正黑體 Light"/>
      <family val="2"/>
      <charset val="136"/>
    </font>
    <font>
      <sz val="18"/>
      <color rgb="FFFF0000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2"/>
      <color rgb="FF0000FF"/>
      <name val="Arial Unicode MS"/>
      <family val="2"/>
      <charset val="136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24"/>
      <color rgb="FF000000"/>
      <name val="新細明體"/>
      <family val="1"/>
      <charset val="136"/>
    </font>
    <font>
      <sz val="12"/>
      <color rgb="FFFF0000"/>
      <name val="Arial"/>
      <family val="2"/>
    </font>
    <font>
      <sz val="12"/>
      <color rgb="FF0000FF"/>
      <name val="Arial"/>
      <family val="2"/>
    </font>
    <font>
      <sz val="20"/>
      <color rgb="FF000000"/>
      <name val="Arial Unicode MS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>
      <alignment vertical="center"/>
    </xf>
  </cellStyleXfs>
  <cellXfs count="113">
    <xf numFmtId="0" fontId="0" fillId="0" borderId="0" xfId="0">
      <alignment vertical="center"/>
    </xf>
    <xf numFmtId="0" fontId="2" fillId="0" borderId="0" xfId="0" applyFont="1">
      <alignment vertical="center"/>
    </xf>
    <xf numFmtId="14" fontId="2" fillId="0" borderId="0" xfId="0" applyNumberFormat="1" applyFont="1">
      <alignment vertical="center"/>
    </xf>
    <xf numFmtId="0" fontId="2" fillId="3" borderId="7" xfId="0" applyFont="1" applyFill="1" applyBorder="1">
      <alignment vertical="center"/>
    </xf>
    <xf numFmtId="14" fontId="2" fillId="3" borderId="0" xfId="0" applyNumberFormat="1" applyFont="1" applyFill="1" applyBorder="1">
      <alignment vertical="center"/>
    </xf>
    <xf numFmtId="0" fontId="2" fillId="3" borderId="0" xfId="0" applyFont="1" applyFill="1" applyBorder="1">
      <alignment vertical="center"/>
    </xf>
    <xf numFmtId="0" fontId="2" fillId="3" borderId="8" xfId="0" applyFont="1" applyFill="1" applyBorder="1">
      <alignment vertical="center"/>
    </xf>
    <xf numFmtId="14" fontId="2" fillId="3" borderId="7" xfId="0" applyNumberFormat="1" applyFont="1" applyFill="1" applyBorder="1">
      <alignment vertical="center"/>
    </xf>
    <xf numFmtId="14" fontId="2" fillId="3" borderId="9" xfId="0" applyNumberFormat="1" applyFont="1" applyFill="1" applyBorder="1">
      <alignment vertical="center"/>
    </xf>
    <xf numFmtId="0" fontId="2" fillId="3" borderId="10" xfId="0" applyFont="1" applyFill="1" applyBorder="1">
      <alignment vertical="center"/>
    </xf>
    <xf numFmtId="0" fontId="2" fillId="3" borderId="11" xfId="0" applyFont="1" applyFill="1" applyBorder="1">
      <alignment vertical="center"/>
    </xf>
    <xf numFmtId="14" fontId="2" fillId="3" borderId="2" xfId="0" applyNumberFormat="1" applyFont="1" applyFill="1" applyBorder="1">
      <alignment vertical="center"/>
    </xf>
    <xf numFmtId="0" fontId="2" fillId="3" borderId="2" xfId="0" applyFont="1" applyFill="1" applyBorder="1">
      <alignment vertical="center"/>
    </xf>
    <xf numFmtId="14" fontId="2" fillId="3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3" borderId="9" xfId="0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0" fontId="4" fillId="3" borderId="8" xfId="0" applyFont="1" applyFill="1" applyBorder="1">
      <alignment vertical="center"/>
    </xf>
    <xf numFmtId="0" fontId="4" fillId="3" borderId="15" xfId="0" applyFont="1" applyFill="1" applyBorder="1">
      <alignment vertical="center"/>
    </xf>
    <xf numFmtId="0" fontId="4" fillId="3" borderId="13" xfId="0" applyFont="1" applyFill="1" applyBorder="1">
      <alignment vertical="center"/>
    </xf>
    <xf numFmtId="0" fontId="4" fillId="3" borderId="11" xfId="0" applyFont="1" applyFill="1" applyBorder="1">
      <alignment vertical="center"/>
    </xf>
    <xf numFmtId="0" fontId="4" fillId="3" borderId="7" xfId="0" applyFont="1" applyFill="1" applyBorder="1">
      <alignment vertical="center"/>
    </xf>
    <xf numFmtId="0" fontId="4" fillId="3" borderId="14" xfId="0" applyFont="1" applyFill="1" applyBorder="1">
      <alignment vertical="center"/>
    </xf>
    <xf numFmtId="0" fontId="4" fillId="3" borderId="9" xfId="0" applyFont="1" applyFill="1" applyBorder="1">
      <alignment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Border="1">
      <alignment vertical="center"/>
    </xf>
    <xf numFmtId="0" fontId="5" fillId="0" borderId="0" xfId="0" applyFont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4" fillId="3" borderId="9" xfId="0" applyFont="1" applyFill="1" applyBorder="1" applyAlignment="1">
      <alignment vertical="center"/>
    </xf>
    <xf numFmtId="0" fontId="4" fillId="5" borderId="6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2" fillId="0" borderId="0" xfId="0" applyNumberFormat="1" applyFont="1">
      <alignment vertical="center"/>
    </xf>
    <xf numFmtId="0" fontId="4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10" fontId="2" fillId="0" borderId="0" xfId="0" applyNumberFormat="1" applyFont="1" applyBorder="1">
      <alignment vertical="center"/>
    </xf>
    <xf numFmtId="0" fontId="4" fillId="4" borderId="12" xfId="0" applyFont="1" applyFill="1" applyBorder="1">
      <alignment vertical="center"/>
    </xf>
    <xf numFmtId="0" fontId="4" fillId="4" borderId="7" xfId="0" applyFont="1" applyFill="1" applyBorder="1">
      <alignment vertical="center"/>
    </xf>
    <xf numFmtId="0" fontId="2" fillId="0" borderId="17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16" xfId="0" applyFont="1" applyBorder="1">
      <alignment vertical="center"/>
    </xf>
    <xf numFmtId="0" fontId="0" fillId="8" borderId="0" xfId="0" applyFill="1">
      <alignment vertical="center"/>
    </xf>
    <xf numFmtId="0" fontId="0" fillId="9" borderId="0" xfId="0" applyFill="1" applyBorder="1">
      <alignment vertical="center"/>
    </xf>
    <xf numFmtId="0" fontId="2" fillId="9" borderId="0" xfId="0" applyFont="1" applyFill="1" applyBorder="1">
      <alignment vertical="center"/>
    </xf>
    <xf numFmtId="178" fontId="2" fillId="0" borderId="1" xfId="0" applyNumberFormat="1" applyFont="1" applyBorder="1">
      <alignment vertical="center"/>
    </xf>
    <xf numFmtId="0" fontId="2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2" fillId="8" borderId="0" xfId="0" applyFont="1" applyFill="1">
      <alignment vertical="center"/>
    </xf>
    <xf numFmtId="0" fontId="2" fillId="7" borderId="18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10" fillId="7" borderId="18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3" fillId="0" borderId="0" xfId="0" applyFont="1">
      <alignment vertical="center"/>
    </xf>
    <xf numFmtId="0" fontId="0" fillId="0" borderId="0" xfId="0" applyAlignment="1">
      <alignment horizontal="right" vertical="center"/>
    </xf>
    <xf numFmtId="0" fontId="2" fillId="10" borderId="0" xfId="0" applyFont="1" applyFill="1" applyBorder="1">
      <alignment vertical="center"/>
    </xf>
    <xf numFmtId="14" fontId="2" fillId="10" borderId="0" xfId="0" applyNumberFormat="1" applyFont="1" applyFill="1" applyBorder="1">
      <alignment vertical="center"/>
    </xf>
    <xf numFmtId="0" fontId="2" fillId="10" borderId="0" xfId="0" applyNumberFormat="1" applyFont="1" applyFill="1" applyBorder="1">
      <alignment vertical="center"/>
    </xf>
    <xf numFmtId="0" fontId="2" fillId="5" borderId="5" xfId="0" applyFont="1" applyFill="1" applyBorder="1" applyAlignment="1">
      <alignment horizontal="center" vertical="center"/>
    </xf>
    <xf numFmtId="180" fontId="13" fillId="0" borderId="0" xfId="0" applyNumberFormat="1" applyFont="1">
      <alignment vertical="center"/>
    </xf>
    <xf numFmtId="0" fontId="13" fillId="11" borderId="0" xfId="0" applyFont="1" applyFill="1">
      <alignment vertical="center"/>
    </xf>
    <xf numFmtId="181" fontId="13" fillId="0" borderId="0" xfId="0" applyNumberFormat="1" applyFont="1">
      <alignment vertical="center"/>
    </xf>
    <xf numFmtId="179" fontId="15" fillId="7" borderId="0" xfId="0" applyNumberFormat="1" applyFont="1" applyFill="1" applyBorder="1" applyAlignment="1">
      <alignment horizontal="center" vertical="center"/>
    </xf>
    <xf numFmtId="179" fontId="13" fillId="7" borderId="0" xfId="0" applyNumberFormat="1" applyFont="1" applyFill="1" applyBorder="1" applyAlignment="1">
      <alignment horizontal="center" vertical="center"/>
    </xf>
    <xf numFmtId="0" fontId="13" fillId="2" borderId="0" xfId="0" applyFont="1" applyFill="1">
      <alignment vertical="center"/>
    </xf>
    <xf numFmtId="180" fontId="13" fillId="11" borderId="0" xfId="0" applyNumberFormat="1" applyFont="1" applyFill="1">
      <alignment vertical="center"/>
    </xf>
    <xf numFmtId="0" fontId="13" fillId="0" borderId="0" xfId="0" applyFont="1" applyAlignment="1">
      <alignment horizontal="right" vertical="center"/>
    </xf>
    <xf numFmtId="179" fontId="13" fillId="0" borderId="0" xfId="0" applyNumberFormat="1" applyFont="1">
      <alignment vertical="center"/>
    </xf>
    <xf numFmtId="2" fontId="16" fillId="7" borderId="0" xfId="0" applyNumberFormat="1" applyFont="1" applyFill="1" applyBorder="1" applyAlignment="1">
      <alignment horizontal="center"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14" fontId="6" fillId="3" borderId="0" xfId="0" applyNumberFormat="1" applyFont="1" applyFill="1" applyBorder="1" applyAlignment="1">
      <alignment horizontal="center" vertical="center"/>
    </xf>
    <xf numFmtId="14" fontId="6" fillId="3" borderId="8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176" fontId="6" fillId="5" borderId="10" xfId="0" applyNumberFormat="1" applyFont="1" applyFill="1" applyBorder="1" applyAlignment="1">
      <alignment horizontal="center" vertical="center"/>
    </xf>
    <xf numFmtId="176" fontId="6" fillId="5" borderId="11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10" borderId="0" xfId="0" applyFont="1" applyFill="1" applyBorder="1" applyAlignment="1">
      <alignment horizontal="center" vertical="center"/>
    </xf>
    <xf numFmtId="0" fontId="12" fillId="7" borderId="18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9" fillId="9" borderId="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177" fontId="2" fillId="9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79" fontId="1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39669829399201"/>
          <c:y val="2.7729641094018039E-2"/>
          <c:w val="0.81924939958020637"/>
          <c:h val="0.7362292491672010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LMUV!$O$4:$S$4</c:f>
              <c:numCache>
                <c:formatCode>0.0000</c:formatCode>
                <c:ptCount val="5"/>
                <c:pt idx="0">
                  <c:v>14.265500000000003</c:v>
                </c:pt>
                <c:pt idx="1">
                  <c:v>13.834</c:v>
                </c:pt>
                <c:pt idx="2">
                  <c:v>14.497999999999999</c:v>
                </c:pt>
                <c:pt idx="3">
                  <c:v>16.021999999999998</c:v>
                </c:pt>
                <c:pt idx="4">
                  <c:v>18.970499999999998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CF-4D0D-A1C1-0D764EA86AC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LMUV!$O$31:$S$31</c:f>
              <c:numCache>
                <c:formatCode>0.0000</c:formatCode>
                <c:ptCount val="5"/>
                <c:pt idx="0">
                  <c:v>15.900572902724438</c:v>
                </c:pt>
                <c:pt idx="1">
                  <c:v>14.66674015967099</c:v>
                </c:pt>
                <c:pt idx="2">
                  <c:v>14.391682619915475</c:v>
                </c:pt>
                <c:pt idx="3">
                  <c:v>14.929390138321669</c:v>
                </c:pt>
                <c:pt idx="4">
                  <c:v>17.674512846446202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CF-4D0D-A1C1-0D764EA86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78136"/>
        <c:axId val="593177808"/>
      </c:lineChart>
      <c:catAx>
        <c:axId val="593178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3177808"/>
        <c:crosses val="autoZero"/>
        <c:auto val="1"/>
        <c:lblAlgn val="ctr"/>
        <c:lblOffset val="100"/>
        <c:noMultiLvlLbl val="0"/>
      </c:catAx>
      <c:valAx>
        <c:axId val="593177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3178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10432502322569"/>
          <c:y val="2.7729641094018039E-2"/>
          <c:w val="0.84645111687070917"/>
          <c:h val="0.7362292491672010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LMUV!$O$5:$S$5</c:f>
              <c:numCache>
                <c:formatCode>0.0000</c:formatCode>
                <c:ptCount val="5"/>
                <c:pt idx="0">
                  <c:v>13.429499999999999</c:v>
                </c:pt>
                <c:pt idx="1">
                  <c:v>13.25</c:v>
                </c:pt>
                <c:pt idx="2">
                  <c:v>13.545</c:v>
                </c:pt>
                <c:pt idx="3">
                  <c:v>14.77</c:v>
                </c:pt>
                <c:pt idx="4">
                  <c:v>16.794499999999999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95-4CBB-B5E0-D31C83049B5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LMUV!$O$32:$S$32</c:f>
              <c:numCache>
                <c:formatCode>0.0000</c:formatCode>
                <c:ptCount val="5"/>
                <c:pt idx="0">
                  <c:v>14.575308240801386</c:v>
                </c:pt>
                <c:pt idx="1">
                  <c:v>13.70725493598967</c:v>
                </c:pt>
                <c:pt idx="2">
                  <c:v>13.577367610056104</c:v>
                </c:pt>
                <c:pt idx="3">
                  <c:v>14.029177882378345</c:v>
                </c:pt>
                <c:pt idx="4">
                  <c:v>15.812496095435771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95-4CBB-B5E0-D31C83049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19424"/>
        <c:axId val="593118768"/>
      </c:lineChart>
      <c:catAx>
        <c:axId val="59311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3118768"/>
        <c:crosses val="autoZero"/>
        <c:auto val="1"/>
        <c:lblAlgn val="ctr"/>
        <c:lblOffset val="100"/>
        <c:noMultiLvlLbl val="0"/>
      </c:catAx>
      <c:valAx>
        <c:axId val="593118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311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62272088034549"/>
          <c:y val="5.0837675339033071E-2"/>
          <c:w val="0.81924939958020637"/>
          <c:h val="0.7362292491672010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LMUV!$O$6:$S$6</c:f>
              <c:numCache>
                <c:formatCode>0.0000</c:formatCode>
                <c:ptCount val="5"/>
                <c:pt idx="0">
                  <c:v>13.667500000000041</c:v>
                </c:pt>
                <c:pt idx="1">
                  <c:v>13.157000000000005</c:v>
                </c:pt>
                <c:pt idx="2">
                  <c:v>13.345000000000001</c:v>
                </c:pt>
                <c:pt idx="3">
                  <c:v>14.507000000000003</c:v>
                </c:pt>
                <c:pt idx="4">
                  <c:v>16.3325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85-4522-B761-C847965CFAC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LMUV!$O$33:$S$33</c:f>
              <c:numCache>
                <c:formatCode>0.0000</c:formatCode>
                <c:ptCount val="5"/>
                <c:pt idx="0">
                  <c:v>14.446557803726128</c:v>
                </c:pt>
                <c:pt idx="1">
                  <c:v>13.504498720078278</c:v>
                </c:pt>
                <c:pt idx="2">
                  <c:v>13.420633950188291</c:v>
                </c:pt>
                <c:pt idx="3">
                  <c:v>13.911051462062114</c:v>
                </c:pt>
                <c:pt idx="4">
                  <c:v>15.627540254458731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85-4522-B761-C847965CF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20408"/>
        <c:axId val="593115160"/>
      </c:lineChart>
      <c:catAx>
        <c:axId val="593120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3115160"/>
        <c:crosses val="autoZero"/>
        <c:auto val="1"/>
        <c:lblAlgn val="ctr"/>
        <c:lblOffset val="100"/>
        <c:noMultiLvlLbl val="0"/>
      </c:catAx>
      <c:valAx>
        <c:axId val="593115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3120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10432502322569"/>
          <c:y val="2.5384266594661788E-2"/>
          <c:w val="0.84645111687070917"/>
          <c:h val="0.7362292491672010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LMUV!$O$7:$S$7</c:f>
              <c:numCache>
                <c:formatCode>0.0000</c:formatCode>
                <c:ptCount val="5"/>
                <c:pt idx="0">
                  <c:v>13.683500000000029</c:v>
                </c:pt>
                <c:pt idx="1">
                  <c:v>13.013</c:v>
                </c:pt>
                <c:pt idx="2">
                  <c:v>13.073</c:v>
                </c:pt>
                <c:pt idx="3">
                  <c:v>14.108000000000001</c:v>
                </c:pt>
                <c:pt idx="4">
                  <c:v>15.9085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D-4F86-8C7C-FE5F386F4B9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LMUV!$O$34:$S$34</c:f>
              <c:numCache>
                <c:formatCode>0.0000</c:formatCode>
                <c:ptCount val="5"/>
                <c:pt idx="0">
                  <c:v>14.235119754932617</c:v>
                </c:pt>
                <c:pt idx="1">
                  <c:v>13.221204465621796</c:v>
                </c:pt>
                <c:pt idx="2">
                  <c:v>13.165427240279035</c:v>
                </c:pt>
                <c:pt idx="3">
                  <c:v>13.681854698160183</c:v>
                </c:pt>
                <c:pt idx="4">
                  <c:v>15.394221699788453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D-4F86-8C7C-FE5F386F4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295616"/>
        <c:axId val="591294304"/>
      </c:lineChart>
      <c:catAx>
        <c:axId val="59129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1294304"/>
        <c:crosses val="autoZero"/>
        <c:auto val="1"/>
        <c:lblAlgn val="ctr"/>
        <c:lblOffset val="100"/>
        <c:noMultiLvlLbl val="0"/>
      </c:catAx>
      <c:valAx>
        <c:axId val="5912943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1295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LMUV!$O$8:$S$8</c:f>
              <c:numCache>
                <c:formatCode>0.0000</c:formatCode>
                <c:ptCount val="5"/>
                <c:pt idx="0">
                  <c:v>13.500500000000015</c:v>
                </c:pt>
                <c:pt idx="1">
                  <c:v>12.504999999999999</c:v>
                </c:pt>
                <c:pt idx="2">
                  <c:v>12.27</c:v>
                </c:pt>
                <c:pt idx="3">
                  <c:v>13.055</c:v>
                </c:pt>
                <c:pt idx="4">
                  <c:v>14.535499999999999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54-4513-8C8F-CA6561B02B0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LMUV!$O$35:$S$35</c:f>
              <c:numCache>
                <c:formatCode>0.0000</c:formatCode>
                <c:ptCount val="5"/>
                <c:pt idx="0">
                  <c:v>13.611378119879175</c:v>
                </c:pt>
                <c:pt idx="1">
                  <c:v>12.405823673080016</c:v>
                </c:pt>
                <c:pt idx="2">
                  <c:v>12.389682809485072</c:v>
                </c:pt>
                <c:pt idx="3">
                  <c:v>12.93203297647081</c:v>
                </c:pt>
                <c:pt idx="4">
                  <c:v>14.546633166000309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54-4513-8C8F-CA6561B02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256584"/>
        <c:axId val="591252648"/>
      </c:lineChart>
      <c:catAx>
        <c:axId val="591256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1252648"/>
        <c:crosses val="autoZero"/>
        <c:auto val="1"/>
        <c:lblAlgn val="ctr"/>
        <c:lblOffset val="100"/>
        <c:noMultiLvlLbl val="0"/>
      </c:catAx>
      <c:valAx>
        <c:axId val="591252648"/>
        <c:scaling>
          <c:orientation val="minMax"/>
          <c:max val="14.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1256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LMUV!$O$9:$S$9</c:f>
              <c:numCache>
                <c:formatCode>0.0000</c:formatCode>
                <c:ptCount val="5"/>
                <c:pt idx="0">
                  <c:v>13.482500000000053</c:v>
                </c:pt>
                <c:pt idx="1">
                  <c:v>12.260000000000021</c:v>
                </c:pt>
                <c:pt idx="2">
                  <c:v>11.845000000000001</c:v>
                </c:pt>
                <c:pt idx="3">
                  <c:v>12.460000000000003</c:v>
                </c:pt>
                <c:pt idx="4">
                  <c:v>13.882500000000004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8-42FA-9E07-6BB339B377D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LMUV!$O$36:$S$36</c:f>
              <c:numCache>
                <c:formatCode>0.0000</c:formatCode>
                <c:ptCount val="5"/>
                <c:pt idx="0">
                  <c:v>13.407620395273465</c:v>
                </c:pt>
                <c:pt idx="1">
                  <c:v>11.959162543716687</c:v>
                </c:pt>
                <c:pt idx="2">
                  <c:v>11.957857371928363</c:v>
                </c:pt>
                <c:pt idx="3">
                  <c:v>12.53040616103487</c:v>
                </c:pt>
                <c:pt idx="4">
                  <c:v>14.19204015234572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F8-42FA-9E07-6BB339B37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000976"/>
        <c:axId val="588001960"/>
      </c:lineChart>
      <c:catAx>
        <c:axId val="58800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88001960"/>
        <c:crosses val="autoZero"/>
        <c:auto val="1"/>
        <c:lblAlgn val="ctr"/>
        <c:lblOffset val="100"/>
        <c:noMultiLvlLbl val="0"/>
      </c:catAx>
      <c:valAx>
        <c:axId val="588001960"/>
        <c:scaling>
          <c:orientation val="minMax"/>
          <c:max val="14.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88000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39669829399201"/>
          <c:y val="4.6216068490030064E-2"/>
          <c:w val="0.81924939958020637"/>
          <c:h val="0.8419490516972214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LMUV!$O$10:$S$10</c:f>
              <c:numCache>
                <c:formatCode>0.0000</c:formatCode>
                <c:ptCount val="5"/>
                <c:pt idx="0">
                  <c:v>13.468000000000046</c:v>
                </c:pt>
                <c:pt idx="1">
                  <c:v>12.112000000000105</c:v>
                </c:pt>
                <c:pt idx="2">
                  <c:v>11.54</c:v>
                </c:pt>
                <c:pt idx="3">
                  <c:v>12.032</c:v>
                </c:pt>
                <c:pt idx="4">
                  <c:v>13.327999999999998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C7-4976-9696-F0948641678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LMUV!$O$37:$S$37</c:f>
              <c:numCache>
                <c:formatCode>0.0000</c:formatCode>
                <c:ptCount val="5"/>
                <c:pt idx="0">
                  <c:v>13.279042615944237</c:v>
                </c:pt>
                <c:pt idx="1">
                  <c:v>11.638629688647656</c:v>
                </c:pt>
                <c:pt idx="2">
                  <c:v>11.649794156580771</c:v>
                </c:pt>
                <c:pt idx="3">
                  <c:v>12.237119652970959</c:v>
                </c:pt>
                <c:pt idx="4">
                  <c:v>13.895288177449363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C7-4976-9696-F09486416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970144"/>
        <c:axId val="587971128"/>
      </c:lineChart>
      <c:catAx>
        <c:axId val="587970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87971128"/>
        <c:crosses val="autoZero"/>
        <c:auto val="1"/>
        <c:lblAlgn val="ctr"/>
        <c:lblOffset val="100"/>
        <c:noMultiLvlLbl val="0"/>
      </c:catAx>
      <c:valAx>
        <c:axId val="587971128"/>
        <c:scaling>
          <c:orientation val="minMax"/>
          <c:max val="1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8797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13893007685513"/>
          <c:y val="2.5384335514695499E-2"/>
          <c:w val="0.84645111687070917"/>
          <c:h val="0.8419490516972214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LMUV!$O$11:$S$11</c:f>
              <c:numCache>
                <c:formatCode>0.0000</c:formatCode>
                <c:ptCount val="5"/>
                <c:pt idx="0">
                  <c:v>13.090000000000188</c:v>
                </c:pt>
                <c:pt idx="1">
                  <c:v>11.525000000000112</c:v>
                </c:pt>
                <c:pt idx="2">
                  <c:v>10.91</c:v>
                </c:pt>
                <c:pt idx="3">
                  <c:v>11.415000000000001</c:v>
                </c:pt>
                <c:pt idx="4">
                  <c:v>12.67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6-4323-9A28-9BB716E0EFB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LMUV!$O$38:$S$38</c:f>
              <c:numCache>
                <c:formatCode>0.0000</c:formatCode>
                <c:ptCount val="5"/>
                <c:pt idx="0">
                  <c:v>12.874413386687619</c:v>
                </c:pt>
                <c:pt idx="1">
                  <c:v>10.949532156172721</c:v>
                </c:pt>
                <c:pt idx="2">
                  <c:v>10.976198135795162</c:v>
                </c:pt>
                <c:pt idx="3">
                  <c:v>11.73011820950158</c:v>
                </c:pt>
                <c:pt idx="4">
                  <c:v>13.45129807568966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06-4323-9A28-9BB716E0E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276920"/>
        <c:axId val="591272000"/>
      </c:lineChart>
      <c:catAx>
        <c:axId val="591276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1272000"/>
        <c:crosses val="autoZero"/>
        <c:auto val="1"/>
        <c:lblAlgn val="ctr"/>
        <c:lblOffset val="100"/>
        <c:noMultiLvlLbl val="0"/>
      </c:catAx>
      <c:valAx>
        <c:axId val="591272000"/>
        <c:scaling>
          <c:orientation val="minMax"/>
          <c:max val="1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127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10432502322569"/>
          <c:y val="2.5384266594661788E-2"/>
          <c:w val="0.84645111687070917"/>
          <c:h val="0.8419490516972214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LMUV!$O$12:$S$12</c:f>
              <c:numCache>
                <c:formatCode>0.0000</c:formatCode>
                <c:ptCount val="5"/>
                <c:pt idx="0">
                  <c:v>12.262500000000525</c:v>
                </c:pt>
                <c:pt idx="1">
                  <c:v>10.69380000000004</c:v>
                </c:pt>
                <c:pt idx="2">
                  <c:v>9.8699999999999992</c:v>
                </c:pt>
                <c:pt idx="3">
                  <c:v>10.271299999999998</c:v>
                </c:pt>
                <c:pt idx="4">
                  <c:v>12.2575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F8-4839-B3A5-A3DDF3D6F6B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LMUV!$O$39:$S$39</c:f>
              <c:numCache>
                <c:formatCode>0.0000</c:formatCode>
                <c:ptCount val="5"/>
                <c:pt idx="0">
                  <c:v>11.738561985297702</c:v>
                </c:pt>
                <c:pt idx="1">
                  <c:v>9.8272598639467876</c:v>
                </c:pt>
                <c:pt idx="2">
                  <c:v>10.02403079073939</c:v>
                </c:pt>
                <c:pt idx="3">
                  <c:v>10.847879574273522</c:v>
                </c:pt>
                <c:pt idx="4">
                  <c:v>12.680758337361732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F8-4839-B3A5-A3DDF3D6F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294632"/>
        <c:axId val="591294960"/>
      </c:lineChart>
      <c:catAx>
        <c:axId val="591294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1294960"/>
        <c:crosses val="autoZero"/>
        <c:auto val="1"/>
        <c:lblAlgn val="ctr"/>
        <c:lblOffset val="100"/>
        <c:noMultiLvlLbl val="0"/>
      </c:catAx>
      <c:valAx>
        <c:axId val="591294960"/>
        <c:scaling>
          <c:orientation val="minMax"/>
          <c:max val="1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129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63969922432844"/>
          <c:y val="2.5428331875182269E-2"/>
          <c:w val="0.84645111687070917"/>
          <c:h val="0.841674686497521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LMUV!$O$13:$S$13</c:f>
              <c:numCache>
                <c:formatCode>0.0000</c:formatCode>
                <c:ptCount val="5"/>
                <c:pt idx="0">
                  <c:v>11.462500000000523</c:v>
                </c:pt>
                <c:pt idx="1">
                  <c:v>10.080000000000016</c:v>
                </c:pt>
                <c:pt idx="2">
                  <c:v>9.74</c:v>
                </c:pt>
                <c:pt idx="3">
                  <c:v>10.7</c:v>
                </c:pt>
                <c:pt idx="4">
                  <c:v>13.797500000000005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9-4575-8053-2F2C408ACC0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LMUV!$O$40:$S$40</c:f>
              <c:numCache>
                <c:formatCode>0.0000</c:formatCode>
                <c:ptCount val="5"/>
                <c:pt idx="0">
                  <c:v>10.898600981983384</c:v>
                </c:pt>
                <c:pt idx="1">
                  <c:v>9.6380474422321036</c:v>
                </c:pt>
                <c:pt idx="2">
                  <c:v>10.00561227629173</c:v>
                </c:pt>
                <c:pt idx="3">
                  <c:v>10.936546795747415</c:v>
                </c:pt>
                <c:pt idx="4">
                  <c:v>13.09595904139073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9-4575-8053-2F2C408AC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267736"/>
        <c:axId val="591265112"/>
      </c:lineChart>
      <c:catAx>
        <c:axId val="591267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1265112"/>
        <c:crosses val="autoZero"/>
        <c:auto val="1"/>
        <c:lblAlgn val="ctr"/>
        <c:lblOffset val="100"/>
        <c:noMultiLvlLbl val="0"/>
      </c:catAx>
      <c:valAx>
        <c:axId val="591265112"/>
        <c:scaling>
          <c:orientation val="minMax"/>
          <c:max val="1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126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10432502322569"/>
          <c:y val="2.5428331875182269E-2"/>
          <c:w val="0.84645111687070917"/>
          <c:h val="0.841674686497521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LMUV!$O$14:$S$14</c:f>
              <c:numCache>
                <c:formatCode>0.0000</c:formatCode>
                <c:ptCount val="5"/>
                <c:pt idx="0">
                  <c:v>10.257500000000164</c:v>
                </c:pt>
                <c:pt idx="1">
                  <c:v>9.2674999999999983</c:v>
                </c:pt>
                <c:pt idx="2">
                  <c:v>9.7949999999999999</c:v>
                </c:pt>
                <c:pt idx="3">
                  <c:v>11.6325</c:v>
                </c:pt>
                <c:pt idx="4">
                  <c:v>15.872499999999997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A4-4055-B76C-DA913F5121B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LMUV!$O$41:$S$41</c:f>
              <c:numCache>
                <c:formatCode>0.0000</c:formatCode>
                <c:ptCount val="5"/>
                <c:pt idx="0">
                  <c:v>10.036806857820114</c:v>
                </c:pt>
                <c:pt idx="1">
                  <c:v>9.5251913511624764</c:v>
                </c:pt>
                <c:pt idx="2">
                  <c:v>10.054104335631148</c:v>
                </c:pt>
                <c:pt idx="3">
                  <c:v>11.195775142040342</c:v>
                </c:pt>
                <c:pt idx="4">
                  <c:v>13.79125350084615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A4-4055-B76C-DA913F512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290368"/>
        <c:axId val="591285120"/>
      </c:lineChart>
      <c:catAx>
        <c:axId val="5912903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1285120"/>
        <c:crosses val="autoZero"/>
        <c:auto val="1"/>
        <c:lblAlgn val="ctr"/>
        <c:lblOffset val="100"/>
        <c:noMultiLvlLbl val="0"/>
      </c:catAx>
      <c:valAx>
        <c:axId val="591285120"/>
        <c:scaling>
          <c:orientation val="minMax"/>
          <c:max val="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9129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</xdr:row>
          <xdr:rowOff>19050</xdr:rowOff>
        </xdr:from>
        <xdr:to>
          <xdr:col>11</xdr:col>
          <xdr:colOff>552450</xdr:colOff>
          <xdr:row>3</xdr:row>
          <xdr:rowOff>203200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微軟正黑體 Light"/>
                  <a:ea typeface="微軟正黑體 Light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127000</xdr:colOff>
          <xdr:row>36</xdr:row>
          <xdr:rowOff>107950</xdr:rowOff>
        </xdr:from>
        <xdr:to>
          <xdr:col>19</xdr:col>
          <xdr:colOff>527050</xdr:colOff>
          <xdr:row>38</xdr:row>
          <xdr:rowOff>127000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266700</xdr:colOff>
      <xdr:row>14</xdr:row>
      <xdr:rowOff>104774</xdr:rowOff>
    </xdr:to>
    <xdr:graphicFrame macro="">
      <xdr:nvGraphicFramePr>
        <xdr:cNvPr id="2" name="圖表 1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9072</xdr:colOff>
      <xdr:row>4</xdr:row>
      <xdr:rowOff>93208</xdr:rowOff>
    </xdr:from>
    <xdr:to>
      <xdr:col>4</xdr:col>
      <xdr:colOff>275772</xdr:colOff>
      <xdr:row>18</xdr:row>
      <xdr:rowOff>159429</xdr:rowOff>
    </xdr:to>
    <xdr:graphicFrame macro="">
      <xdr:nvGraphicFramePr>
        <xdr:cNvPr id="3" name="圖表 1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</xdr:row>
      <xdr:rowOff>88106</xdr:rowOff>
    </xdr:from>
    <xdr:to>
      <xdr:col>4</xdr:col>
      <xdr:colOff>266700</xdr:colOff>
      <xdr:row>28</xdr:row>
      <xdr:rowOff>145256</xdr:rowOff>
    </xdr:to>
    <xdr:graphicFrame macro="">
      <xdr:nvGraphicFramePr>
        <xdr:cNvPr id="4" name="圖表 2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18143</xdr:colOff>
      <xdr:row>8</xdr:row>
      <xdr:rowOff>69395</xdr:rowOff>
    </xdr:from>
    <xdr:to>
      <xdr:col>4</xdr:col>
      <xdr:colOff>284843</xdr:colOff>
      <xdr:row>22</xdr:row>
      <xdr:rowOff>126545</xdr:rowOff>
    </xdr:to>
    <xdr:graphicFrame macro="">
      <xdr:nvGraphicFramePr>
        <xdr:cNvPr id="5" name="圖表 2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12</xdr:row>
      <xdr:rowOff>185057</xdr:rowOff>
    </xdr:from>
    <xdr:to>
      <xdr:col>4</xdr:col>
      <xdr:colOff>266700</xdr:colOff>
      <xdr:row>27</xdr:row>
      <xdr:rowOff>42635</xdr:rowOff>
    </xdr:to>
    <xdr:graphicFrame macro="">
      <xdr:nvGraphicFramePr>
        <xdr:cNvPr id="6" name="圖表 2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16</xdr:row>
      <xdr:rowOff>59190</xdr:rowOff>
    </xdr:from>
    <xdr:to>
      <xdr:col>4</xdr:col>
      <xdr:colOff>266700</xdr:colOff>
      <xdr:row>30</xdr:row>
      <xdr:rowOff>140152</xdr:rowOff>
    </xdr:to>
    <xdr:graphicFrame macro="">
      <xdr:nvGraphicFramePr>
        <xdr:cNvPr id="7" name="圖表 2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36286</xdr:colOff>
      <xdr:row>19</xdr:row>
      <xdr:rowOff>139133</xdr:rowOff>
    </xdr:from>
    <xdr:to>
      <xdr:col>5</xdr:col>
      <xdr:colOff>12700</xdr:colOff>
      <xdr:row>34</xdr:row>
      <xdr:rowOff>29595</xdr:rowOff>
    </xdr:to>
    <xdr:graphicFrame macro="">
      <xdr:nvGraphicFramePr>
        <xdr:cNvPr id="8" name="圖表 24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23</xdr:row>
      <xdr:rowOff>177345</xdr:rowOff>
    </xdr:from>
    <xdr:to>
      <xdr:col>4</xdr:col>
      <xdr:colOff>266700</xdr:colOff>
      <xdr:row>38</xdr:row>
      <xdr:rowOff>58736</xdr:rowOff>
    </xdr:to>
    <xdr:graphicFrame macro="">
      <xdr:nvGraphicFramePr>
        <xdr:cNvPr id="9" name="圖表 25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28</xdr:row>
      <xdr:rowOff>19163</xdr:rowOff>
    </xdr:from>
    <xdr:to>
      <xdr:col>4</xdr:col>
      <xdr:colOff>266700</xdr:colOff>
      <xdr:row>42</xdr:row>
      <xdr:rowOff>109197</xdr:rowOff>
    </xdr:to>
    <xdr:graphicFrame macro="">
      <xdr:nvGraphicFramePr>
        <xdr:cNvPr id="10" name="圖表 2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32</xdr:row>
      <xdr:rowOff>182108</xdr:rowOff>
    </xdr:from>
    <xdr:to>
      <xdr:col>4</xdr:col>
      <xdr:colOff>266700</xdr:colOff>
      <xdr:row>47</xdr:row>
      <xdr:rowOff>58736</xdr:rowOff>
    </xdr:to>
    <xdr:graphicFrame macro="">
      <xdr:nvGraphicFramePr>
        <xdr:cNvPr id="11" name="圖表 2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37</xdr:row>
      <xdr:rowOff>81189</xdr:rowOff>
    </xdr:from>
    <xdr:to>
      <xdr:col>4</xdr:col>
      <xdr:colOff>266700</xdr:colOff>
      <xdr:row>51</xdr:row>
      <xdr:rowOff>166460</xdr:rowOff>
    </xdr:to>
    <xdr:graphicFrame macro="">
      <xdr:nvGraphicFramePr>
        <xdr:cNvPr id="12" name="圖表 28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16</xdr:row>
          <xdr:rowOff>152400</xdr:rowOff>
        </xdr:from>
        <xdr:to>
          <xdr:col>8</xdr:col>
          <xdr:colOff>419100</xdr:colOff>
          <xdr:row>25</xdr:row>
          <xdr:rowOff>31750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3152" rIns="64008" bIns="73152" anchor="ctr" upright="1"/>
            <a:lstStyle/>
            <a:p>
              <a:pPr algn="ctr" rtl="0">
                <a:defRPr sz="1000"/>
              </a:pPr>
              <a:r>
                <a:rPr lang="zh-TW" altLang="en-US" sz="20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Calc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476250</xdr:colOff>
      <xdr:row>24</xdr:row>
      <xdr:rowOff>54429</xdr:rowOff>
    </xdr:from>
    <xdr:ext cx="184731" cy="264560"/>
    <xdr:sp macro="" textlink="">
      <xdr:nvSpPr>
        <xdr:cNvPr id="14" name="文字方塊 1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9359900" y="4766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1:AA57"/>
  <sheetViews>
    <sheetView zoomScale="74" zoomScaleNormal="74" workbookViewId="0">
      <selection activeCell="F7" sqref="F7"/>
    </sheetView>
  </sheetViews>
  <sheetFormatPr defaultColWidth="9" defaultRowHeight="18" x14ac:dyDescent="0.4"/>
  <cols>
    <col min="1" max="1" width="2.6328125" style="1" customWidth="1"/>
    <col min="2" max="2" width="13.26953125" style="1" bestFit="1" customWidth="1"/>
    <col min="3" max="3" width="7.6328125" style="1" bestFit="1" customWidth="1"/>
    <col min="4" max="4" width="11.36328125" style="1" bestFit="1" customWidth="1"/>
    <col min="5" max="5" width="13.6328125" style="1" customWidth="1"/>
    <col min="6" max="6" width="10.90625" style="1" customWidth="1"/>
    <col min="7" max="7" width="8.08984375" style="1" customWidth="1"/>
    <col min="8" max="8" width="10.7265625" style="1" customWidth="1"/>
    <col min="9" max="9" width="11.7265625" style="1" customWidth="1"/>
    <col min="10" max="12" width="8.08984375" style="1" customWidth="1"/>
    <col min="13" max="13" width="2.6328125" style="1" customWidth="1"/>
    <col min="14" max="14" width="3.90625" style="1" customWidth="1"/>
    <col min="15" max="15" width="12.6328125" style="1" bestFit="1" customWidth="1"/>
    <col min="16" max="16" width="22.90625" style="1" bestFit="1" customWidth="1"/>
    <col min="17" max="17" width="13.26953125" style="1" bestFit="1" customWidth="1"/>
    <col min="18" max="18" width="5.36328125" style="1" bestFit="1" customWidth="1"/>
    <col min="19" max="19" width="14.08984375" style="1" customWidth="1"/>
    <col min="20" max="20" width="16.54296875" style="1" bestFit="1" customWidth="1"/>
    <col min="21" max="21" width="1.90625" style="1" customWidth="1"/>
    <col min="22" max="22" width="1.26953125" style="1" customWidth="1"/>
    <col min="23" max="23" width="15.6328125" style="1" bestFit="1" customWidth="1"/>
    <col min="24" max="24" width="14.453125" style="1" bestFit="1" customWidth="1"/>
    <col min="25" max="25" width="16.54296875" style="1" bestFit="1" customWidth="1"/>
    <col min="26" max="26" width="15.81640625" style="1" bestFit="1" customWidth="1"/>
    <col min="27" max="27" width="16.1796875" style="1" bestFit="1" customWidth="1"/>
    <col min="28" max="16384" width="9" style="1"/>
  </cols>
  <sheetData>
    <row r="1" spans="2:27" ht="16.5" customHeight="1" thickBot="1" x14ac:dyDescent="0.45"/>
    <row r="2" spans="2:27" ht="17.25" customHeight="1" x14ac:dyDescent="0.4">
      <c r="B2" s="93" t="s">
        <v>90</v>
      </c>
      <c r="C2" s="94"/>
      <c r="D2" s="94"/>
      <c r="E2" s="94" t="s">
        <v>91</v>
      </c>
      <c r="F2" s="94"/>
      <c r="G2" s="95"/>
      <c r="Y2" s="2"/>
      <c r="AA2" s="2"/>
    </row>
    <row r="3" spans="2:27" ht="17.25" customHeight="1" x14ac:dyDescent="0.4">
      <c r="B3" s="96" t="s">
        <v>71</v>
      </c>
      <c r="C3" s="97"/>
      <c r="D3" s="97"/>
      <c r="E3" s="98">
        <v>44830</v>
      </c>
      <c r="F3" s="98"/>
      <c r="G3" s="99"/>
      <c r="Y3" s="2"/>
      <c r="AA3" s="2"/>
    </row>
    <row r="4" spans="2:27" ht="17.25" customHeight="1" thickBot="1" x14ac:dyDescent="0.45">
      <c r="B4" s="100" t="s">
        <v>128</v>
      </c>
      <c r="C4" s="101"/>
      <c r="D4" s="101"/>
      <c r="E4" s="102">
        <v>143.83000000000001</v>
      </c>
      <c r="F4" s="102"/>
      <c r="G4" s="103"/>
      <c r="Y4" s="2"/>
      <c r="AA4" s="2"/>
    </row>
    <row r="5" spans="2:27" ht="18.5" thickBot="1" x14ac:dyDescent="0.45">
      <c r="Y5" s="2"/>
      <c r="AA5" s="2"/>
    </row>
    <row r="6" spans="2:27" x14ac:dyDescent="0.4">
      <c r="B6" s="35" t="s">
        <v>71</v>
      </c>
      <c r="C6" s="36" t="s">
        <v>56</v>
      </c>
      <c r="D6" s="36" t="s">
        <v>72</v>
      </c>
      <c r="E6" s="37" t="s">
        <v>73</v>
      </c>
      <c r="F6" s="36" t="s">
        <v>74</v>
      </c>
      <c r="G6" s="37" t="s">
        <v>75</v>
      </c>
      <c r="H6" s="37" t="s">
        <v>76</v>
      </c>
      <c r="I6" s="36" t="s">
        <v>11</v>
      </c>
      <c r="J6" s="36" t="s">
        <v>12</v>
      </c>
      <c r="K6" s="36" t="s">
        <v>13</v>
      </c>
      <c r="L6" s="38" t="s">
        <v>14</v>
      </c>
      <c r="M6" s="24"/>
      <c r="N6" s="39" t="s">
        <v>84</v>
      </c>
      <c r="O6" s="36" t="s">
        <v>48</v>
      </c>
      <c r="P6" s="36" t="s">
        <v>49</v>
      </c>
      <c r="Q6" s="36" t="s">
        <v>85</v>
      </c>
      <c r="R6" s="36"/>
      <c r="S6" s="36" t="s">
        <v>86</v>
      </c>
      <c r="T6" s="36" t="s">
        <v>87</v>
      </c>
      <c r="U6" s="36"/>
      <c r="V6" s="36"/>
      <c r="W6" s="67" t="s">
        <v>88</v>
      </c>
      <c r="X6" s="34" t="s">
        <v>89</v>
      </c>
      <c r="Y6" s="2"/>
      <c r="AA6" s="2"/>
    </row>
    <row r="7" spans="2:27" x14ac:dyDescent="0.4">
      <c r="B7" s="7">
        <v>44837</v>
      </c>
      <c r="C7" s="42" t="s">
        <v>10</v>
      </c>
      <c r="D7" s="42" t="s">
        <v>60</v>
      </c>
      <c r="E7" s="41">
        <v>2.75</v>
      </c>
      <c r="F7" s="42">
        <v>14.497999999999999</v>
      </c>
      <c r="G7" s="41">
        <v>13.122999999999999</v>
      </c>
      <c r="H7" s="41">
        <v>15.872999999999999</v>
      </c>
      <c r="I7" s="42">
        <v>-2.1880000000000002</v>
      </c>
      <c r="J7" s="42">
        <v>-4.7050000000000001</v>
      </c>
      <c r="K7" s="42">
        <v>0.43</v>
      </c>
      <c r="L7" s="43">
        <v>2.12</v>
      </c>
      <c r="N7" s="46" t="s">
        <v>58</v>
      </c>
      <c r="O7" s="4">
        <v>44830</v>
      </c>
      <c r="P7" s="5" t="s">
        <v>50</v>
      </c>
      <c r="Q7" s="4">
        <v>44831</v>
      </c>
      <c r="R7" s="5" t="s">
        <v>35</v>
      </c>
      <c r="S7" s="5">
        <v>0.99991695134210901</v>
      </c>
      <c r="T7" s="5">
        <v>3.0314018921357802</v>
      </c>
      <c r="U7" s="5"/>
      <c r="V7" s="5"/>
      <c r="W7" s="5">
        <v>2.99</v>
      </c>
      <c r="X7" s="17">
        <v>0</v>
      </c>
      <c r="Y7" s="2"/>
      <c r="AA7" s="2"/>
    </row>
    <row r="8" spans="2:27" x14ac:dyDescent="0.4">
      <c r="B8" s="7">
        <v>44860</v>
      </c>
      <c r="C8" s="42" t="s">
        <v>0</v>
      </c>
      <c r="D8" s="42" t="s">
        <v>61</v>
      </c>
      <c r="E8" s="41">
        <v>0.85000000000000098</v>
      </c>
      <c r="F8" s="42">
        <v>13.545</v>
      </c>
      <c r="G8" s="41">
        <v>13.12</v>
      </c>
      <c r="H8" s="41">
        <v>13.97</v>
      </c>
      <c r="I8" s="42">
        <v>-1.52</v>
      </c>
      <c r="J8" s="42">
        <v>-3.3650000000000002</v>
      </c>
      <c r="K8" s="42">
        <v>0.46500000000000002</v>
      </c>
      <c r="L8" s="43">
        <v>1.5669999999999999</v>
      </c>
      <c r="N8" s="21" t="s">
        <v>58</v>
      </c>
      <c r="O8" s="4">
        <v>44831</v>
      </c>
      <c r="P8" s="5" t="s">
        <v>50</v>
      </c>
      <c r="Q8" s="4">
        <v>44832</v>
      </c>
      <c r="R8" s="5" t="s">
        <v>36</v>
      </c>
      <c r="S8" s="5">
        <v>0.99983390958128504</v>
      </c>
      <c r="T8" s="5">
        <v>3.0314018923560999</v>
      </c>
      <c r="U8" s="5"/>
      <c r="V8" s="5"/>
      <c r="W8" s="5">
        <v>2.99</v>
      </c>
      <c r="X8" s="17">
        <v>0</v>
      </c>
      <c r="Y8" s="2"/>
      <c r="AA8" s="2"/>
    </row>
    <row r="9" spans="2:27" x14ac:dyDescent="0.4">
      <c r="B9" s="7">
        <v>44889</v>
      </c>
      <c r="C9" s="42" t="s">
        <v>1</v>
      </c>
      <c r="D9" s="42" t="s">
        <v>62</v>
      </c>
      <c r="E9" s="41">
        <v>0.79999999999999905</v>
      </c>
      <c r="F9" s="42">
        <v>13.345000000000001</v>
      </c>
      <c r="G9" s="41">
        <v>12.945</v>
      </c>
      <c r="H9" s="41">
        <v>13.744999999999999</v>
      </c>
      <c r="I9" s="42">
        <v>-1.35</v>
      </c>
      <c r="J9" s="42">
        <v>-2.665</v>
      </c>
      <c r="K9" s="42">
        <v>0.48700000000000199</v>
      </c>
      <c r="L9" s="43">
        <v>1.655</v>
      </c>
      <c r="N9" s="21" t="s">
        <v>59</v>
      </c>
      <c r="O9" s="4">
        <v>44832</v>
      </c>
      <c r="P9" s="5" t="s">
        <v>51</v>
      </c>
      <c r="Q9" s="4">
        <v>44846</v>
      </c>
      <c r="R9" s="5" t="s">
        <v>38</v>
      </c>
      <c r="S9" s="5">
        <v>0.99865636334876096</v>
      </c>
      <c r="T9" s="5">
        <v>3.0672321956466599</v>
      </c>
      <c r="U9" s="5"/>
      <c r="V9" s="5"/>
      <c r="W9" s="5">
        <v>3.0320499999999999</v>
      </c>
      <c r="X9" s="17">
        <v>0</v>
      </c>
      <c r="Y9" s="2"/>
      <c r="AA9" s="2"/>
    </row>
    <row r="10" spans="2:27" x14ac:dyDescent="0.4">
      <c r="B10" s="7">
        <v>44921</v>
      </c>
      <c r="C10" s="42" t="s">
        <v>2</v>
      </c>
      <c r="D10" s="42" t="s">
        <v>63</v>
      </c>
      <c r="E10" s="41">
        <v>0.75</v>
      </c>
      <c r="F10" s="42">
        <v>13.073</v>
      </c>
      <c r="G10" s="41">
        <v>12.698</v>
      </c>
      <c r="H10" s="41">
        <v>13.448</v>
      </c>
      <c r="I10" s="42">
        <v>-1.095</v>
      </c>
      <c r="J10" s="42">
        <v>-2.2250000000000001</v>
      </c>
      <c r="K10" s="42">
        <v>0.48750000000000099</v>
      </c>
      <c r="L10" s="43">
        <v>1.7230000000000001</v>
      </c>
      <c r="N10" s="21" t="s">
        <v>59</v>
      </c>
      <c r="O10" s="4">
        <v>44832</v>
      </c>
      <c r="P10" s="5" t="s">
        <v>51</v>
      </c>
      <c r="Q10" s="4">
        <v>44862</v>
      </c>
      <c r="R10" s="5" t="s">
        <v>0</v>
      </c>
      <c r="S10" s="5">
        <v>0.99730673431652705</v>
      </c>
      <c r="T10" s="5">
        <v>3.0761504778754798</v>
      </c>
      <c r="U10" s="5"/>
      <c r="V10" s="5"/>
      <c r="W10" s="5">
        <v>3.0407999999999999</v>
      </c>
      <c r="X10" s="17">
        <v>0</v>
      </c>
      <c r="Y10" s="2"/>
      <c r="AA10" s="2"/>
    </row>
    <row r="11" spans="2:27" x14ac:dyDescent="0.4">
      <c r="B11" s="7">
        <v>45009</v>
      </c>
      <c r="C11" s="42" t="s">
        <v>3</v>
      </c>
      <c r="D11" s="42" t="s">
        <v>64</v>
      </c>
      <c r="E11" s="41">
        <v>0.65</v>
      </c>
      <c r="F11" s="42">
        <v>12.27</v>
      </c>
      <c r="G11" s="41">
        <v>11.945</v>
      </c>
      <c r="H11" s="41">
        <v>12.595000000000001</v>
      </c>
      <c r="I11" s="42">
        <v>-0.55000000000000104</v>
      </c>
      <c r="J11" s="42">
        <v>-1.0349999999999999</v>
      </c>
      <c r="K11" s="42">
        <v>0.51</v>
      </c>
      <c r="L11" s="43">
        <v>1.748</v>
      </c>
      <c r="N11" s="21" t="s">
        <v>59</v>
      </c>
      <c r="O11" s="4">
        <v>44832</v>
      </c>
      <c r="P11" s="5" t="s">
        <v>51</v>
      </c>
      <c r="Q11" s="4">
        <v>44893</v>
      </c>
      <c r="R11" s="5" t="s">
        <v>1</v>
      </c>
      <c r="S11" s="5">
        <v>0.994214368322203</v>
      </c>
      <c r="T11" s="5">
        <v>3.3617272190499401</v>
      </c>
      <c r="U11" s="5"/>
      <c r="V11" s="5"/>
      <c r="W11" s="5">
        <v>3.33575</v>
      </c>
      <c r="X11" s="17">
        <v>0</v>
      </c>
      <c r="Y11" s="2"/>
      <c r="AA11" s="2"/>
    </row>
    <row r="12" spans="2:27" x14ac:dyDescent="0.4">
      <c r="B12" s="7">
        <v>45103</v>
      </c>
      <c r="C12" s="42" t="s">
        <v>4</v>
      </c>
      <c r="D12" s="42" t="s">
        <v>65</v>
      </c>
      <c r="E12" s="41">
        <v>0.54999999999999905</v>
      </c>
      <c r="F12" s="42">
        <v>11.845000000000001</v>
      </c>
      <c r="G12" s="41">
        <v>11.57</v>
      </c>
      <c r="H12" s="41">
        <v>12.12</v>
      </c>
      <c r="I12" s="42">
        <v>-0.20000000000000301</v>
      </c>
      <c r="J12" s="42">
        <v>-0.40000000000000202</v>
      </c>
      <c r="K12" s="42">
        <v>0.51500000000000101</v>
      </c>
      <c r="L12" s="43">
        <v>1.8374999999999999</v>
      </c>
      <c r="N12" s="21" t="s">
        <v>59</v>
      </c>
      <c r="O12" s="4">
        <v>44832</v>
      </c>
      <c r="P12" s="5" t="s">
        <v>51</v>
      </c>
      <c r="Q12" s="4">
        <v>44923</v>
      </c>
      <c r="R12" s="5" t="s">
        <v>2</v>
      </c>
      <c r="S12" s="5">
        <v>0.99092892405270505</v>
      </c>
      <c r="T12" s="5">
        <v>3.57639899250431</v>
      </c>
      <c r="U12" s="5"/>
      <c r="V12" s="5"/>
      <c r="W12" s="5">
        <v>3.5550999999999999</v>
      </c>
      <c r="X12" s="17">
        <v>0</v>
      </c>
      <c r="Y12" s="2"/>
      <c r="AA12" s="2"/>
    </row>
    <row r="13" spans="2:27" x14ac:dyDescent="0.4">
      <c r="B13" s="7">
        <v>45195</v>
      </c>
      <c r="C13" s="42" t="s">
        <v>5</v>
      </c>
      <c r="D13" s="42" t="s">
        <v>66</v>
      </c>
      <c r="E13" s="41">
        <v>0.70000000000000095</v>
      </c>
      <c r="F13" s="42">
        <v>11.54</v>
      </c>
      <c r="G13" s="41">
        <v>11.19</v>
      </c>
      <c r="H13" s="41">
        <v>11.89</v>
      </c>
      <c r="I13" s="42">
        <v>7.9999999999998295E-2</v>
      </c>
      <c r="J13" s="42">
        <v>0.14000000000000101</v>
      </c>
      <c r="K13" s="42">
        <v>0.53200000000000003</v>
      </c>
      <c r="L13" s="43">
        <v>1.8580000000000001</v>
      </c>
      <c r="N13" s="21" t="s">
        <v>59</v>
      </c>
      <c r="O13" s="4">
        <v>44832</v>
      </c>
      <c r="P13" s="5" t="s">
        <v>51</v>
      </c>
      <c r="Q13" s="4">
        <v>44956</v>
      </c>
      <c r="R13" s="5" t="s">
        <v>40</v>
      </c>
      <c r="S13" s="5">
        <v>0.98706729091473799</v>
      </c>
      <c r="T13" s="5">
        <v>3.7708163487400501</v>
      </c>
      <c r="U13" s="5"/>
      <c r="V13" s="5"/>
      <c r="W13" s="5">
        <v>3.7549999999999999</v>
      </c>
      <c r="X13" s="17">
        <v>0</v>
      </c>
      <c r="Y13" s="2"/>
      <c r="AA13" s="2"/>
    </row>
    <row r="14" spans="2:27" x14ac:dyDescent="0.4">
      <c r="B14" s="7">
        <v>45561</v>
      </c>
      <c r="C14" s="42" t="s">
        <v>6</v>
      </c>
      <c r="D14" s="42" t="s">
        <v>67</v>
      </c>
      <c r="E14" s="41">
        <v>0.60000000000000098</v>
      </c>
      <c r="F14" s="42">
        <v>10.91</v>
      </c>
      <c r="G14" s="41">
        <v>10.61</v>
      </c>
      <c r="H14" s="41">
        <v>11.21</v>
      </c>
      <c r="I14" s="42">
        <v>0.109999999999999</v>
      </c>
      <c r="J14" s="42">
        <v>0.42</v>
      </c>
      <c r="K14" s="42">
        <v>0.56000000000000005</v>
      </c>
      <c r="L14" s="43">
        <v>1.97</v>
      </c>
      <c r="N14" s="21" t="s">
        <v>59</v>
      </c>
      <c r="O14" s="4">
        <v>44832</v>
      </c>
      <c r="P14" s="5" t="s">
        <v>51</v>
      </c>
      <c r="Q14" s="4">
        <v>44985</v>
      </c>
      <c r="R14" s="5" t="s">
        <v>136</v>
      </c>
      <c r="S14" s="5">
        <v>0.98347430623423204</v>
      </c>
      <c r="T14" s="5">
        <v>3.9240481984266302</v>
      </c>
      <c r="U14" s="5"/>
      <c r="V14" s="5"/>
      <c r="W14" s="5">
        <v>3.9140000000000001</v>
      </c>
      <c r="X14" s="17">
        <v>0</v>
      </c>
      <c r="Y14" s="2"/>
      <c r="AA14" s="2"/>
    </row>
    <row r="15" spans="2:27" x14ac:dyDescent="0.4">
      <c r="B15" s="7">
        <v>46654</v>
      </c>
      <c r="C15" s="42" t="s">
        <v>7</v>
      </c>
      <c r="D15" s="42" t="s">
        <v>68</v>
      </c>
      <c r="E15" s="41">
        <v>0.95000000000000095</v>
      </c>
      <c r="F15" s="42">
        <v>9.8699999999999992</v>
      </c>
      <c r="G15" s="41">
        <v>9.3949999999999996</v>
      </c>
      <c r="H15" s="41">
        <v>10.345000000000001</v>
      </c>
      <c r="I15" s="42">
        <v>0.42249999999999899</v>
      </c>
      <c r="J15" s="42">
        <v>4.9999999999990096E-3</v>
      </c>
      <c r="K15" s="42">
        <v>0.61254999999999904</v>
      </c>
      <c r="L15" s="43">
        <v>2.39</v>
      </c>
      <c r="N15" s="21" t="s">
        <v>59</v>
      </c>
      <c r="O15" s="4">
        <v>44832</v>
      </c>
      <c r="P15" s="5" t="s">
        <v>51</v>
      </c>
      <c r="Q15" s="4">
        <v>45013</v>
      </c>
      <c r="R15" s="5" t="s">
        <v>3</v>
      </c>
      <c r="S15" s="5">
        <v>0.97997765674354997</v>
      </c>
      <c r="T15" s="5">
        <v>4.0340491748067304</v>
      </c>
      <c r="U15" s="5"/>
      <c r="V15" s="5"/>
      <c r="W15" s="5">
        <v>4.03</v>
      </c>
      <c r="X15" s="17">
        <v>0</v>
      </c>
      <c r="Y15" s="2"/>
      <c r="AA15" s="2"/>
    </row>
    <row r="16" spans="2:27" x14ac:dyDescent="0.4">
      <c r="B16" s="7">
        <v>47387</v>
      </c>
      <c r="C16" s="42" t="s">
        <v>8</v>
      </c>
      <c r="D16" s="42" t="s">
        <v>69</v>
      </c>
      <c r="E16" s="41">
        <v>0.5</v>
      </c>
      <c r="F16" s="42">
        <v>9.74</v>
      </c>
      <c r="G16" s="41">
        <v>9.49</v>
      </c>
      <c r="H16" s="41">
        <v>9.99</v>
      </c>
      <c r="I16" s="42">
        <v>-0.619999999999999</v>
      </c>
      <c r="J16" s="42">
        <v>-2.335</v>
      </c>
      <c r="K16" s="42">
        <v>0.65</v>
      </c>
      <c r="L16" s="43">
        <v>2.89</v>
      </c>
      <c r="N16" s="21" t="s">
        <v>59</v>
      </c>
      <c r="O16" s="4">
        <v>44832</v>
      </c>
      <c r="P16" s="5" t="s">
        <v>51</v>
      </c>
      <c r="Q16" s="4">
        <v>45105</v>
      </c>
      <c r="R16" s="5" t="s">
        <v>4</v>
      </c>
      <c r="S16" s="5">
        <v>0.968296813209787</v>
      </c>
      <c r="T16" s="5">
        <v>4.2760232454894496</v>
      </c>
      <c r="U16" s="5"/>
      <c r="V16" s="5"/>
      <c r="W16" s="5">
        <v>4.2949000000000002</v>
      </c>
      <c r="X16" s="17">
        <v>0</v>
      </c>
      <c r="Y16" s="2"/>
      <c r="AA16" s="2"/>
    </row>
    <row r="17" spans="2:27" ht="18.5" thickBot="1" x14ac:dyDescent="0.45">
      <c r="B17" s="8">
        <v>48481</v>
      </c>
      <c r="C17" s="27" t="s">
        <v>9</v>
      </c>
      <c r="D17" s="27" t="s">
        <v>70</v>
      </c>
      <c r="E17" s="28">
        <v>0.60000000000000098</v>
      </c>
      <c r="F17" s="27">
        <v>9.7949999999999999</v>
      </c>
      <c r="G17" s="28">
        <v>9.4949999999999992</v>
      </c>
      <c r="H17" s="28">
        <v>10.095000000000001</v>
      </c>
      <c r="I17" s="27">
        <v>-2.3650000000000002</v>
      </c>
      <c r="J17" s="27">
        <v>-5.6150000000000002</v>
      </c>
      <c r="K17" s="27">
        <v>0.65499999999999903</v>
      </c>
      <c r="L17" s="29">
        <v>3.27</v>
      </c>
      <c r="N17" s="21" t="s">
        <v>59</v>
      </c>
      <c r="O17" s="4">
        <v>44832</v>
      </c>
      <c r="P17" s="5" t="s">
        <v>51</v>
      </c>
      <c r="Q17" s="4">
        <v>45197</v>
      </c>
      <c r="R17" s="5" t="s">
        <v>5</v>
      </c>
      <c r="S17" s="5">
        <v>0.95683786838864804</v>
      </c>
      <c r="T17" s="5">
        <v>4.3880875257871503</v>
      </c>
      <c r="U17" s="5"/>
      <c r="V17" s="5"/>
      <c r="W17" s="5">
        <v>4.4320000000000004</v>
      </c>
      <c r="X17" s="17">
        <v>0</v>
      </c>
      <c r="Y17" s="2"/>
      <c r="AA17" s="2"/>
    </row>
    <row r="18" spans="2:27" ht="18.5" thickBot="1" x14ac:dyDescent="0.45">
      <c r="N18" s="21" t="s">
        <v>59</v>
      </c>
      <c r="O18" s="4">
        <v>44832</v>
      </c>
      <c r="P18" s="5" t="s">
        <v>51</v>
      </c>
      <c r="Q18" s="4">
        <v>45379</v>
      </c>
      <c r="R18" s="5" t="s">
        <v>52</v>
      </c>
      <c r="S18" s="5">
        <v>0.93544290025242904</v>
      </c>
      <c r="T18" s="5">
        <v>4.4368556809657704</v>
      </c>
      <c r="U18" s="5"/>
      <c r="V18" s="5"/>
      <c r="W18" s="5">
        <v>4.46</v>
      </c>
      <c r="X18" s="17">
        <v>0</v>
      </c>
      <c r="Y18" s="2"/>
      <c r="AA18" s="2"/>
    </row>
    <row r="19" spans="2:27" x14ac:dyDescent="0.4">
      <c r="B19" s="89" t="s">
        <v>92</v>
      </c>
      <c r="C19" s="90"/>
      <c r="D19" s="90"/>
      <c r="E19" s="90"/>
      <c r="F19" s="91"/>
      <c r="G19" s="89" t="s">
        <v>117</v>
      </c>
      <c r="H19" s="90"/>
      <c r="I19" s="90"/>
      <c r="J19" s="90"/>
      <c r="K19" s="90"/>
      <c r="L19" s="91"/>
      <c r="M19" s="26"/>
      <c r="N19" s="21" t="s">
        <v>59</v>
      </c>
      <c r="O19" s="4">
        <v>44832</v>
      </c>
      <c r="P19" s="5" t="s">
        <v>51</v>
      </c>
      <c r="Q19" s="4">
        <v>45565</v>
      </c>
      <c r="R19" s="5" t="s">
        <v>6</v>
      </c>
      <c r="S19" s="5">
        <v>0.91596911818304405</v>
      </c>
      <c r="T19" s="5">
        <v>4.3587767975516201</v>
      </c>
      <c r="U19" s="5"/>
      <c r="V19" s="5"/>
      <c r="W19" s="5">
        <v>4.399</v>
      </c>
      <c r="X19" s="17">
        <v>0</v>
      </c>
      <c r="Y19" s="2"/>
      <c r="AA19" s="2"/>
    </row>
    <row r="20" spans="2:27" x14ac:dyDescent="0.4">
      <c r="B20" s="3"/>
      <c r="C20" s="5"/>
      <c r="D20" s="5"/>
      <c r="E20" s="5"/>
      <c r="F20" s="6"/>
      <c r="G20" s="3"/>
      <c r="H20" s="5"/>
      <c r="I20" s="5"/>
      <c r="J20" s="5"/>
      <c r="K20" s="5"/>
      <c r="L20" s="6"/>
      <c r="N20" s="21" t="s">
        <v>59</v>
      </c>
      <c r="O20" s="4">
        <v>44832</v>
      </c>
      <c r="P20" s="5" t="s">
        <v>51</v>
      </c>
      <c r="Q20" s="4">
        <v>45929</v>
      </c>
      <c r="R20" s="5" t="s">
        <v>46</v>
      </c>
      <c r="S20" s="5">
        <v>0.88284393403343198</v>
      </c>
      <c r="T20" s="5">
        <v>4.1384437029823999</v>
      </c>
      <c r="U20" s="5"/>
      <c r="V20" s="5"/>
      <c r="W20" s="5">
        <v>4.1795499999999999</v>
      </c>
      <c r="X20" s="17">
        <v>0</v>
      </c>
    </row>
    <row r="21" spans="2:27" x14ac:dyDescent="0.4">
      <c r="B21" s="84" t="s">
        <v>93</v>
      </c>
      <c r="C21" s="82"/>
      <c r="D21" s="82"/>
      <c r="E21" s="82" t="s">
        <v>103</v>
      </c>
      <c r="F21" s="83"/>
      <c r="G21" s="84" t="s">
        <v>118</v>
      </c>
      <c r="H21" s="82"/>
      <c r="I21" s="82"/>
      <c r="J21" s="82"/>
      <c r="K21" s="82" t="s">
        <v>110</v>
      </c>
      <c r="L21" s="83"/>
      <c r="N21" s="21" t="s">
        <v>59</v>
      </c>
      <c r="O21" s="4">
        <v>44832</v>
      </c>
      <c r="P21" s="5" t="s">
        <v>51</v>
      </c>
      <c r="Q21" s="4">
        <v>46293</v>
      </c>
      <c r="R21" s="5" t="s">
        <v>47</v>
      </c>
      <c r="S21" s="5">
        <v>0.85346883906831195</v>
      </c>
      <c r="T21" s="5">
        <v>3.95303350399523</v>
      </c>
      <c r="U21" s="5"/>
      <c r="V21" s="5"/>
      <c r="W21" s="5">
        <v>3.9967999999999999</v>
      </c>
      <c r="X21" s="17">
        <v>0</v>
      </c>
    </row>
    <row r="22" spans="2:27" x14ac:dyDescent="0.4">
      <c r="B22" s="87" t="s">
        <v>94</v>
      </c>
      <c r="C22" s="88"/>
      <c r="D22" s="88"/>
      <c r="E22" s="85" t="s">
        <v>104</v>
      </c>
      <c r="F22" s="86"/>
      <c r="G22" s="84"/>
      <c r="H22" s="82"/>
      <c r="I22" s="82"/>
      <c r="J22" s="82"/>
      <c r="K22" s="5"/>
      <c r="L22" s="6"/>
      <c r="N22" s="21" t="s">
        <v>59</v>
      </c>
      <c r="O22" s="4">
        <v>44832</v>
      </c>
      <c r="P22" s="5" t="s">
        <v>51</v>
      </c>
      <c r="Q22" s="4">
        <v>46658</v>
      </c>
      <c r="R22" s="5" t="s">
        <v>7</v>
      </c>
      <c r="S22" s="5">
        <v>0.82602729830851596</v>
      </c>
      <c r="T22" s="5">
        <v>3.8162758146001301</v>
      </c>
      <c r="U22" s="5"/>
      <c r="V22" s="5"/>
      <c r="W22" s="5">
        <v>3.8627500000000001</v>
      </c>
      <c r="X22" s="17">
        <v>0</v>
      </c>
    </row>
    <row r="23" spans="2:27" x14ac:dyDescent="0.4">
      <c r="B23" s="87" t="s">
        <v>95</v>
      </c>
      <c r="C23" s="88"/>
      <c r="D23" s="88"/>
      <c r="E23" s="85" t="s">
        <v>105</v>
      </c>
      <c r="F23" s="86"/>
      <c r="G23" s="87" t="s">
        <v>94</v>
      </c>
      <c r="H23" s="88"/>
      <c r="I23" s="88"/>
      <c r="J23" s="88"/>
      <c r="K23" s="88" t="s">
        <v>104</v>
      </c>
      <c r="L23" s="92"/>
      <c r="N23" s="21" t="s">
        <v>59</v>
      </c>
      <c r="O23" s="4">
        <v>44832</v>
      </c>
      <c r="P23" s="5" t="s">
        <v>51</v>
      </c>
      <c r="Q23" s="4">
        <v>47024</v>
      </c>
      <c r="R23" s="5" t="s">
        <v>53</v>
      </c>
      <c r="S23" s="5">
        <v>0.80015626397913697</v>
      </c>
      <c r="T23" s="5">
        <v>3.7090295243011102</v>
      </c>
      <c r="U23" s="5"/>
      <c r="V23" s="5"/>
      <c r="W23" s="5">
        <v>3.7582499999999999</v>
      </c>
      <c r="X23" s="17">
        <v>0</v>
      </c>
    </row>
    <row r="24" spans="2:27" x14ac:dyDescent="0.4">
      <c r="B24" s="87" t="s">
        <v>96</v>
      </c>
      <c r="C24" s="88"/>
      <c r="D24" s="88"/>
      <c r="E24" s="85" t="s">
        <v>106</v>
      </c>
      <c r="F24" s="86"/>
      <c r="G24" s="87" t="s">
        <v>119</v>
      </c>
      <c r="H24" s="88"/>
      <c r="I24" s="88"/>
      <c r="J24" s="88"/>
      <c r="K24" s="88" t="s">
        <v>126</v>
      </c>
      <c r="L24" s="92"/>
      <c r="N24" s="21" t="s">
        <v>59</v>
      </c>
      <c r="O24" s="4">
        <v>44832</v>
      </c>
      <c r="P24" s="5" t="s">
        <v>51</v>
      </c>
      <c r="Q24" s="4">
        <v>47389</v>
      </c>
      <c r="R24" s="5" t="s">
        <v>8</v>
      </c>
      <c r="S24" s="5">
        <v>0.77565673553300196</v>
      </c>
      <c r="T24" s="5">
        <v>3.6235443866348298</v>
      </c>
      <c r="U24" s="5"/>
      <c r="V24" s="5"/>
      <c r="W24" s="5">
        <v>3.6753499999999999</v>
      </c>
      <c r="X24" s="17">
        <v>0</v>
      </c>
    </row>
    <row r="25" spans="2:27" x14ac:dyDescent="0.4">
      <c r="B25" s="87" t="s">
        <v>97</v>
      </c>
      <c r="C25" s="88"/>
      <c r="D25" s="88"/>
      <c r="E25" s="85" t="s">
        <v>104</v>
      </c>
      <c r="F25" s="86"/>
      <c r="G25" s="87" t="s">
        <v>120</v>
      </c>
      <c r="H25" s="88"/>
      <c r="I25" s="88"/>
      <c r="J25" s="88"/>
      <c r="K25" s="88" t="s">
        <v>104</v>
      </c>
      <c r="L25" s="92"/>
      <c r="N25" s="21" t="s">
        <v>59</v>
      </c>
      <c r="O25" s="4">
        <v>44832</v>
      </c>
      <c r="P25" s="5" t="s">
        <v>51</v>
      </c>
      <c r="Q25" s="4">
        <v>47756</v>
      </c>
      <c r="R25" s="5" t="s">
        <v>54</v>
      </c>
      <c r="S25" s="5">
        <v>0.751958895970815</v>
      </c>
      <c r="T25" s="5">
        <v>3.5561131205055601</v>
      </c>
      <c r="U25" s="5"/>
      <c r="V25" s="5"/>
      <c r="W25" s="5">
        <v>3.61015</v>
      </c>
      <c r="X25" s="17">
        <v>0</v>
      </c>
    </row>
    <row r="26" spans="2:27" x14ac:dyDescent="0.4">
      <c r="B26" s="87" t="s">
        <v>98</v>
      </c>
      <c r="C26" s="88"/>
      <c r="D26" s="88"/>
      <c r="E26" s="85" t="s">
        <v>107</v>
      </c>
      <c r="F26" s="86"/>
      <c r="G26" s="84" t="s">
        <v>121</v>
      </c>
      <c r="H26" s="82"/>
      <c r="I26" s="82"/>
      <c r="J26" s="82"/>
      <c r="K26" s="82" t="s">
        <v>110</v>
      </c>
      <c r="L26" s="83"/>
      <c r="N26" s="21" t="s">
        <v>59</v>
      </c>
      <c r="O26" s="4">
        <v>44832</v>
      </c>
      <c r="P26" s="5" t="s">
        <v>51</v>
      </c>
      <c r="Q26" s="4">
        <v>48120</v>
      </c>
      <c r="R26" s="5" t="s">
        <v>55</v>
      </c>
      <c r="S26" s="5">
        <v>0.72896899999999998</v>
      </c>
      <c r="T26" s="5">
        <v>3.5071559580395699</v>
      </c>
      <c r="U26" s="5"/>
      <c r="V26" s="5"/>
      <c r="W26" s="5">
        <v>3.5625499999999999</v>
      </c>
      <c r="X26" s="17">
        <v>0</v>
      </c>
    </row>
    <row r="27" spans="2:27" x14ac:dyDescent="0.4">
      <c r="B27" s="87" t="s">
        <v>99</v>
      </c>
      <c r="C27" s="88"/>
      <c r="D27" s="88"/>
      <c r="E27" s="85" t="s">
        <v>108</v>
      </c>
      <c r="F27" s="86"/>
      <c r="G27" s="84" t="s">
        <v>122</v>
      </c>
      <c r="H27" s="82"/>
      <c r="I27" s="82"/>
      <c r="J27" s="82"/>
      <c r="K27" s="82" t="s">
        <v>110</v>
      </c>
      <c r="L27" s="83"/>
      <c r="N27" s="21" t="s">
        <v>59</v>
      </c>
      <c r="O27" s="4">
        <v>44832</v>
      </c>
      <c r="P27" s="5" t="s">
        <v>51</v>
      </c>
      <c r="Q27" s="4">
        <v>48485</v>
      </c>
      <c r="R27" s="5" t="s">
        <v>9</v>
      </c>
      <c r="S27" s="5">
        <v>0.70631008150239605</v>
      </c>
      <c r="T27" s="5">
        <v>3.472252779707</v>
      </c>
      <c r="U27" s="5"/>
      <c r="V27" s="5"/>
      <c r="W27" s="5">
        <v>3.5282499999999999</v>
      </c>
      <c r="X27" s="17">
        <v>0</v>
      </c>
    </row>
    <row r="28" spans="2:27" x14ac:dyDescent="0.4">
      <c r="B28" s="84" t="s">
        <v>100</v>
      </c>
      <c r="C28" s="82"/>
      <c r="D28" s="82"/>
      <c r="E28" s="82" t="s">
        <v>107</v>
      </c>
      <c r="F28" s="83"/>
      <c r="G28" s="84" t="s">
        <v>123</v>
      </c>
      <c r="H28" s="82"/>
      <c r="I28" s="82"/>
      <c r="J28" s="82"/>
      <c r="K28" s="82">
        <v>0</v>
      </c>
      <c r="L28" s="83"/>
      <c r="N28" s="21" t="s">
        <v>59</v>
      </c>
      <c r="O28" s="4">
        <v>44832</v>
      </c>
      <c r="P28" s="5" t="s">
        <v>51</v>
      </c>
      <c r="Q28" s="4">
        <v>49215</v>
      </c>
      <c r="R28" s="5" t="s">
        <v>77</v>
      </c>
      <c r="S28" s="5">
        <v>0.66248988378479801</v>
      </c>
      <c r="T28" s="5">
        <v>3.4273374398117999</v>
      </c>
      <c r="U28" s="5"/>
      <c r="V28" s="5"/>
      <c r="W28" s="5">
        <v>3.4834000000000001</v>
      </c>
      <c r="X28" s="17">
        <v>0</v>
      </c>
    </row>
    <row r="29" spans="2:27" x14ac:dyDescent="0.4">
      <c r="B29" s="84" t="s">
        <v>101</v>
      </c>
      <c r="C29" s="82"/>
      <c r="D29" s="82"/>
      <c r="E29" s="82" t="s">
        <v>109</v>
      </c>
      <c r="F29" s="83"/>
      <c r="G29" s="84" t="s">
        <v>124</v>
      </c>
      <c r="H29" s="82"/>
      <c r="I29" s="82"/>
      <c r="J29" s="82"/>
      <c r="K29" s="82" t="s">
        <v>110</v>
      </c>
      <c r="L29" s="83"/>
      <c r="N29" s="21" t="s">
        <v>59</v>
      </c>
      <c r="O29" s="4">
        <v>44832</v>
      </c>
      <c r="P29" s="5" t="s">
        <v>51</v>
      </c>
      <c r="Q29" s="4">
        <v>50311</v>
      </c>
      <c r="R29" s="5" t="s">
        <v>78</v>
      </c>
      <c r="S29" s="5">
        <v>0.60259494515575496</v>
      </c>
      <c r="T29" s="5">
        <v>3.3730371261927901</v>
      </c>
      <c r="U29" s="5"/>
      <c r="V29" s="5"/>
      <c r="W29" s="5">
        <v>3.431</v>
      </c>
      <c r="X29" s="17">
        <v>0</v>
      </c>
    </row>
    <row r="30" spans="2:27" x14ac:dyDescent="0.4">
      <c r="B30" s="84" t="s">
        <v>102</v>
      </c>
      <c r="C30" s="82"/>
      <c r="D30" s="82"/>
      <c r="E30" s="82" t="s">
        <v>110</v>
      </c>
      <c r="F30" s="83"/>
      <c r="G30" s="84" t="s">
        <v>125</v>
      </c>
      <c r="H30" s="82"/>
      <c r="I30" s="82"/>
      <c r="J30" s="82"/>
      <c r="K30" s="82" t="s">
        <v>110</v>
      </c>
      <c r="L30" s="83"/>
      <c r="N30" s="21" t="s">
        <v>59</v>
      </c>
      <c r="O30" s="4">
        <v>44832</v>
      </c>
      <c r="P30" s="5" t="s">
        <v>51</v>
      </c>
      <c r="Q30" s="4">
        <v>52138</v>
      </c>
      <c r="R30" s="5" t="s">
        <v>79</v>
      </c>
      <c r="S30" s="5">
        <v>0.52350519937893403</v>
      </c>
      <c r="T30" s="5">
        <v>3.2324991195053698</v>
      </c>
      <c r="U30" s="5"/>
      <c r="V30" s="5"/>
      <c r="W30" s="5">
        <v>3.3107000000000002</v>
      </c>
      <c r="X30" s="17">
        <v>0</v>
      </c>
    </row>
    <row r="31" spans="2:27" ht="18.5" thickBot="1" x14ac:dyDescent="0.45">
      <c r="B31" s="15"/>
      <c r="C31" s="9"/>
      <c r="D31" s="9"/>
      <c r="E31" s="9"/>
      <c r="F31" s="10"/>
      <c r="G31" s="15"/>
      <c r="H31" s="9"/>
      <c r="I31" s="9"/>
      <c r="J31" s="9"/>
      <c r="K31" s="9"/>
      <c r="L31" s="10"/>
      <c r="N31" s="21" t="s">
        <v>59</v>
      </c>
      <c r="O31" s="4">
        <v>44832</v>
      </c>
      <c r="P31" s="5" t="s">
        <v>51</v>
      </c>
      <c r="Q31" s="4">
        <v>53965</v>
      </c>
      <c r="R31" s="5" t="s">
        <v>80</v>
      </c>
      <c r="S31" s="5">
        <v>0.46777849820920198</v>
      </c>
      <c r="T31" s="5">
        <v>3.0357147478717801</v>
      </c>
      <c r="U31" s="5"/>
      <c r="V31" s="5"/>
      <c r="W31" s="5">
        <v>3.1541999999999999</v>
      </c>
      <c r="X31" s="17">
        <v>0</v>
      </c>
    </row>
    <row r="32" spans="2:27" x14ac:dyDescent="0.4">
      <c r="B32" s="89" t="s">
        <v>111</v>
      </c>
      <c r="C32" s="90"/>
      <c r="D32" s="90"/>
      <c r="E32" s="90"/>
      <c r="F32" s="91"/>
      <c r="G32" s="89" t="s">
        <v>127</v>
      </c>
      <c r="H32" s="90"/>
      <c r="I32" s="90"/>
      <c r="J32" s="90"/>
      <c r="K32" s="90"/>
      <c r="L32" s="91"/>
      <c r="N32" s="21" t="s">
        <v>59</v>
      </c>
      <c r="O32" s="4">
        <v>44832</v>
      </c>
      <c r="P32" s="5" t="s">
        <v>51</v>
      </c>
      <c r="Q32" s="4">
        <v>55792</v>
      </c>
      <c r="R32" s="5" t="s">
        <v>81</v>
      </c>
      <c r="S32" s="5">
        <v>0.42312006408151298</v>
      </c>
      <c r="T32" s="5">
        <v>2.8638591938350202</v>
      </c>
      <c r="U32" s="5"/>
      <c r="V32" s="5"/>
      <c r="W32" s="5">
        <v>3.01925</v>
      </c>
      <c r="X32" s="17">
        <v>0</v>
      </c>
    </row>
    <row r="33" spans="2:27" x14ac:dyDescent="0.4">
      <c r="B33" s="3"/>
      <c r="C33" s="5"/>
      <c r="D33" s="5"/>
      <c r="E33" s="5"/>
      <c r="F33" s="6"/>
      <c r="G33" s="3"/>
      <c r="H33" s="5"/>
      <c r="I33" s="5"/>
      <c r="J33" s="5"/>
      <c r="K33" s="5"/>
      <c r="L33" s="6"/>
      <c r="N33" s="22" t="s">
        <v>59</v>
      </c>
      <c r="O33" s="11">
        <v>44832</v>
      </c>
      <c r="P33" s="12" t="s">
        <v>51</v>
      </c>
      <c r="Q33" s="11">
        <v>59442</v>
      </c>
      <c r="R33" s="12" t="s">
        <v>82</v>
      </c>
      <c r="S33" s="12">
        <v>0.362329738394428</v>
      </c>
      <c r="T33" s="12">
        <v>2.5359171904009798</v>
      </c>
      <c r="U33" s="12"/>
      <c r="V33" s="12"/>
      <c r="W33" s="12">
        <v>2.7690000000000001</v>
      </c>
      <c r="X33" s="18">
        <v>0</v>
      </c>
    </row>
    <row r="34" spans="2:27" x14ac:dyDescent="0.4">
      <c r="B34" s="84" t="s">
        <v>112</v>
      </c>
      <c r="C34" s="82"/>
      <c r="D34" s="82"/>
      <c r="E34" s="82" t="s">
        <v>115</v>
      </c>
      <c r="F34" s="83"/>
      <c r="G34" s="30"/>
      <c r="H34" s="5"/>
      <c r="I34" s="5"/>
      <c r="J34" s="5"/>
      <c r="K34" s="5"/>
      <c r="L34" s="6"/>
      <c r="N34" s="21"/>
      <c r="O34" s="5"/>
      <c r="P34" s="5"/>
      <c r="Q34" s="5"/>
      <c r="R34" s="5"/>
      <c r="S34" s="5"/>
      <c r="T34" s="5"/>
      <c r="U34" s="5"/>
      <c r="V34" s="5"/>
      <c r="W34" s="5"/>
      <c r="X34" s="17"/>
    </row>
    <row r="35" spans="2:27" x14ac:dyDescent="0.4">
      <c r="B35" s="84" t="s">
        <v>113</v>
      </c>
      <c r="C35" s="82"/>
      <c r="D35" s="82"/>
      <c r="E35" s="82" t="s">
        <v>116</v>
      </c>
      <c r="F35" s="83"/>
      <c r="G35" s="30"/>
      <c r="H35" s="5"/>
      <c r="I35" s="5"/>
      <c r="J35" s="5"/>
      <c r="K35" s="5"/>
      <c r="L35" s="6"/>
      <c r="N35" s="45" t="s">
        <v>83</v>
      </c>
      <c r="O35" s="13">
        <v>44830</v>
      </c>
      <c r="P35" s="14" t="s">
        <v>34</v>
      </c>
      <c r="Q35" s="13">
        <v>44831</v>
      </c>
      <c r="R35" s="14" t="s">
        <v>35</v>
      </c>
      <c r="S35" s="14">
        <v>1.00001079108311</v>
      </c>
      <c r="T35" s="14">
        <v>-0.393872408469435</v>
      </c>
      <c r="U35" s="14"/>
      <c r="V35" s="14"/>
      <c r="W35" s="14">
        <v>-0.38847480000000001</v>
      </c>
      <c r="X35" s="19">
        <v>0</v>
      </c>
      <c r="Y35" s="1">
        <f>1/(1+W35/100*(Q35-$O$35)/360)</f>
        <v>1.0000107910831129</v>
      </c>
      <c r="Z35" s="1">
        <f>Y35</f>
        <v>1.0000107910831129</v>
      </c>
      <c r="AA35" s="1">
        <f>S35-Z35</f>
        <v>-2.886579864025407E-15</v>
      </c>
    </row>
    <row r="36" spans="2:27" x14ac:dyDescent="0.4">
      <c r="B36" s="84" t="s">
        <v>114</v>
      </c>
      <c r="C36" s="82"/>
      <c r="D36" s="82"/>
      <c r="E36" s="82" t="s">
        <v>110</v>
      </c>
      <c r="F36" s="83"/>
      <c r="G36" s="3"/>
      <c r="H36" s="5"/>
      <c r="I36" s="5"/>
      <c r="J36" s="5"/>
      <c r="K36" s="5"/>
      <c r="L36" s="6"/>
      <c r="N36" s="21" t="s">
        <v>83</v>
      </c>
      <c r="O36" s="4">
        <v>44831</v>
      </c>
      <c r="P36" s="5" t="s">
        <v>34</v>
      </c>
      <c r="Q36" s="4">
        <v>44832</v>
      </c>
      <c r="R36" s="5" t="s">
        <v>36</v>
      </c>
      <c r="S36" s="5">
        <v>1.0000163814385801</v>
      </c>
      <c r="T36" s="5">
        <v>-0.29895880538622799</v>
      </c>
      <c r="U36" s="5"/>
      <c r="V36" s="5"/>
      <c r="W36" s="5">
        <v>-0.2012495</v>
      </c>
      <c r="X36" s="17">
        <v>0</v>
      </c>
      <c r="Y36" s="1">
        <f>1/(1+W36/100*(Q36-O36)/360)</f>
        <v>1.0000055902951401</v>
      </c>
      <c r="Z36" s="1">
        <f>Y36*Y35</f>
        <v>1.0000163814385783</v>
      </c>
      <c r="AA36" s="1">
        <f t="shared" ref="AA36:AA57" si="0">S36-Z36</f>
        <v>1.7763568394002505E-15</v>
      </c>
    </row>
    <row r="37" spans="2:27" ht="18.5" thickBot="1" x14ac:dyDescent="0.45">
      <c r="B37" s="31"/>
      <c r="C37" s="32"/>
      <c r="D37" s="9"/>
      <c r="E37" s="9"/>
      <c r="F37" s="10"/>
      <c r="G37" s="33"/>
      <c r="H37" s="9"/>
      <c r="I37" s="9"/>
      <c r="J37" s="9"/>
      <c r="K37" s="9"/>
      <c r="L37" s="10"/>
      <c r="N37" s="21" t="s">
        <v>83</v>
      </c>
      <c r="O37" s="4">
        <v>44832</v>
      </c>
      <c r="P37" s="5" t="s">
        <v>37</v>
      </c>
      <c r="Q37" s="4">
        <v>44839</v>
      </c>
      <c r="R37" s="5" t="s">
        <v>10</v>
      </c>
      <c r="S37" s="5">
        <v>1.0001083706092</v>
      </c>
      <c r="T37" s="5">
        <v>-0.439479213366266</v>
      </c>
      <c r="U37" s="5"/>
      <c r="V37" s="5"/>
      <c r="W37" s="5">
        <v>-0.47303590000000001</v>
      </c>
      <c r="X37" s="17">
        <v>0</v>
      </c>
      <c r="Y37" s="1">
        <f>1/(1+W37/100*(Q37-O37)/360)</f>
        <v>1.0000919876637298</v>
      </c>
      <c r="Z37" s="1">
        <f>Y37*$Z$36</f>
        <v>1.0001083706091982</v>
      </c>
      <c r="AA37" s="1">
        <f t="shared" si="0"/>
        <v>1.7763568394002505E-15</v>
      </c>
    </row>
    <row r="38" spans="2:27" x14ac:dyDescent="0.4">
      <c r="B38" s="25"/>
      <c r="C38" s="25"/>
      <c r="D38" s="25"/>
      <c r="E38" s="25"/>
      <c r="F38" s="25"/>
      <c r="G38" s="25"/>
      <c r="H38" s="25"/>
      <c r="N38" s="21" t="s">
        <v>83</v>
      </c>
      <c r="O38" s="4">
        <v>44832</v>
      </c>
      <c r="P38" s="5" t="s">
        <v>37</v>
      </c>
      <c r="Q38" s="4">
        <v>44846</v>
      </c>
      <c r="R38" s="5" t="s">
        <v>38</v>
      </c>
      <c r="S38" s="5">
        <v>1.00015879097056</v>
      </c>
      <c r="T38" s="5">
        <v>-0.362213144307372</v>
      </c>
      <c r="U38" s="5"/>
      <c r="V38" s="5"/>
      <c r="W38" s="5">
        <v>-0.36613780000000001</v>
      </c>
      <c r="X38" s="17">
        <v>0</v>
      </c>
      <c r="Y38" s="1">
        <f t="shared" ref="Y38:Y57" si="1">1/(1+W38/100*(Q38-O38)/360)</f>
        <v>1.0001424071991449</v>
      </c>
      <c r="Z38" s="1">
        <f t="shared" ref="Z38:Z56" si="2">Y38*$Z$36</f>
        <v>1.000158790970558</v>
      </c>
      <c r="AA38" s="1">
        <f t="shared" si="0"/>
        <v>1.9984014443252818E-15</v>
      </c>
    </row>
    <row r="39" spans="2:27" x14ac:dyDescent="0.4">
      <c r="N39" s="21" t="s">
        <v>83</v>
      </c>
      <c r="O39" s="4">
        <v>44832</v>
      </c>
      <c r="P39" s="5" t="s">
        <v>37</v>
      </c>
      <c r="Q39" s="4">
        <v>44853</v>
      </c>
      <c r="R39" s="5" t="s">
        <v>39</v>
      </c>
      <c r="S39" s="5">
        <v>1.0002098450357699</v>
      </c>
      <c r="T39" s="5">
        <v>-0.33298001223591001</v>
      </c>
      <c r="U39" s="5"/>
      <c r="V39" s="5"/>
      <c r="W39" s="5">
        <v>-0.3315823</v>
      </c>
      <c r="X39" s="17">
        <v>0</v>
      </c>
      <c r="Y39" s="1">
        <f t="shared" si="1"/>
        <v>1.0001934604280314</v>
      </c>
      <c r="Z39" s="1">
        <f t="shared" si="2"/>
        <v>1.0002098450357697</v>
      </c>
      <c r="AA39" s="1">
        <f t="shared" si="0"/>
        <v>0</v>
      </c>
    </row>
    <row r="40" spans="2:27" x14ac:dyDescent="0.4">
      <c r="N40" s="21" t="s">
        <v>83</v>
      </c>
      <c r="O40" s="4">
        <v>44832</v>
      </c>
      <c r="P40" s="5" t="s">
        <v>34</v>
      </c>
      <c r="Q40" s="4">
        <v>44862</v>
      </c>
      <c r="R40" s="5" t="s">
        <v>0</v>
      </c>
      <c r="S40" s="5">
        <v>1.00027927587982</v>
      </c>
      <c r="T40" s="5">
        <v>-0.31850457721370901</v>
      </c>
      <c r="U40" s="5"/>
      <c r="V40" s="5"/>
      <c r="W40" s="5">
        <v>-0.31538525000000001</v>
      </c>
      <c r="X40" s="17">
        <v>0</v>
      </c>
      <c r="Y40" s="1">
        <f t="shared" si="1"/>
        <v>1.0002628901347257</v>
      </c>
      <c r="Z40" s="1">
        <f t="shared" si="2"/>
        <v>1.0002792758798227</v>
      </c>
      <c r="AA40" s="1">
        <f t="shared" si="0"/>
        <v>-2.6645352591003757E-15</v>
      </c>
    </row>
    <row r="41" spans="2:27" x14ac:dyDescent="0.4">
      <c r="N41" s="21" t="s">
        <v>83</v>
      </c>
      <c r="O41" s="4">
        <v>44832</v>
      </c>
      <c r="P41" s="5" t="s">
        <v>34</v>
      </c>
      <c r="Q41" s="4">
        <v>44893</v>
      </c>
      <c r="R41" s="5" t="s">
        <v>1</v>
      </c>
      <c r="S41" s="5">
        <v>1.0005491606510399</v>
      </c>
      <c r="T41" s="5">
        <v>-0.31807717447549799</v>
      </c>
      <c r="U41" s="5"/>
      <c r="V41" s="5"/>
      <c r="W41" s="5">
        <v>-0.31425449999999999</v>
      </c>
      <c r="X41" s="17">
        <v>0</v>
      </c>
      <c r="Y41" s="1">
        <f t="shared" si="1"/>
        <v>1.0005327704849127</v>
      </c>
      <c r="Z41" s="1">
        <f t="shared" si="2"/>
        <v>1.0005491606510379</v>
      </c>
      <c r="AA41" s="1">
        <f t="shared" si="0"/>
        <v>1.9984014443252818E-15</v>
      </c>
    </row>
    <row r="42" spans="2:27" x14ac:dyDescent="0.4">
      <c r="N42" s="21" t="s">
        <v>83</v>
      </c>
      <c r="O42" s="4">
        <v>44832</v>
      </c>
      <c r="P42" s="5" t="s">
        <v>34</v>
      </c>
      <c r="Q42" s="4">
        <v>44923</v>
      </c>
      <c r="R42" s="5" t="s">
        <v>2</v>
      </c>
      <c r="S42" s="5">
        <v>1.0008328027379301</v>
      </c>
      <c r="T42" s="5">
        <v>-0.32671666112332398</v>
      </c>
      <c r="U42" s="5"/>
      <c r="V42" s="5"/>
      <c r="W42" s="5">
        <v>-0.32271109999999997</v>
      </c>
      <c r="X42" s="17">
        <v>0</v>
      </c>
      <c r="Y42" s="1">
        <f>1/(1+W42/100*(Q42-O42)/360)</f>
        <v>1.0008164079254129</v>
      </c>
      <c r="Z42" s="1">
        <f>Y42*$Z$36</f>
        <v>1.0008328027379274</v>
      </c>
      <c r="AA42" s="1">
        <f t="shared" si="0"/>
        <v>2.6645352591003757E-15</v>
      </c>
    </row>
    <row r="43" spans="2:27" x14ac:dyDescent="0.4">
      <c r="I43" s="40"/>
      <c r="N43" s="21" t="s">
        <v>83</v>
      </c>
      <c r="O43" s="4">
        <v>44832</v>
      </c>
      <c r="P43" s="5" t="s">
        <v>34</v>
      </c>
      <c r="Q43" s="4">
        <v>44956</v>
      </c>
      <c r="R43" s="5" t="s">
        <v>40</v>
      </c>
      <c r="S43" s="5">
        <v>1.00234639488329</v>
      </c>
      <c r="T43" s="5">
        <v>-0.67891344059593095</v>
      </c>
      <c r="U43" s="5"/>
      <c r="V43" s="5"/>
      <c r="W43" s="5">
        <v>-0.67487200000000003</v>
      </c>
      <c r="X43" s="17">
        <v>0</v>
      </c>
      <c r="Y43" s="1">
        <f t="shared" si="1"/>
        <v>1.0023299752763684</v>
      </c>
      <c r="Z43" s="1">
        <f t="shared" si="2"/>
        <v>1.0023463948832936</v>
      </c>
      <c r="AA43" s="1">
        <f t="shared" si="0"/>
        <v>-3.5527136788005009E-15</v>
      </c>
    </row>
    <row r="44" spans="2:27" x14ac:dyDescent="0.4">
      <c r="I44" s="40"/>
      <c r="N44" s="21" t="s">
        <v>83</v>
      </c>
      <c r="O44" s="4">
        <v>44832</v>
      </c>
      <c r="P44" s="5" t="s">
        <v>34</v>
      </c>
      <c r="Q44" s="4">
        <v>44985</v>
      </c>
      <c r="R44" s="5" t="s">
        <v>41</v>
      </c>
      <c r="S44" s="5">
        <v>1.0026528191764601</v>
      </c>
      <c r="T44" s="5">
        <v>-0.62386898831839399</v>
      </c>
      <c r="U44" s="5"/>
      <c r="V44" s="5"/>
      <c r="W44" s="5">
        <v>-0.61869700000000005</v>
      </c>
      <c r="X44" s="17">
        <v>0</v>
      </c>
      <c r="Y44" s="1">
        <f t="shared" si="1"/>
        <v>1.0026363945499452</v>
      </c>
      <c r="Z44" s="1">
        <f t="shared" si="2"/>
        <v>1.002652819176459</v>
      </c>
      <c r="AA44" s="1">
        <f t="shared" si="0"/>
        <v>0</v>
      </c>
    </row>
    <row r="45" spans="2:27" x14ac:dyDescent="0.4">
      <c r="I45" s="40"/>
      <c r="N45" s="21" t="s">
        <v>83</v>
      </c>
      <c r="O45" s="4">
        <v>44832</v>
      </c>
      <c r="P45" s="5" t="s">
        <v>34</v>
      </c>
      <c r="Q45" s="4">
        <v>45013</v>
      </c>
      <c r="R45" s="5" t="s">
        <v>3</v>
      </c>
      <c r="S45" s="5">
        <v>1.00297821662283</v>
      </c>
      <c r="T45" s="5">
        <v>-0.59313308223410799</v>
      </c>
      <c r="U45" s="5"/>
      <c r="V45" s="5"/>
      <c r="W45" s="5">
        <v>-0.58734505000000004</v>
      </c>
      <c r="X45" s="17">
        <v>0</v>
      </c>
      <c r="Y45" s="1">
        <f t="shared" si="1"/>
        <v>1.0029617866659297</v>
      </c>
      <c r="Z45" s="1">
        <f t="shared" si="2"/>
        <v>1.0029782166228343</v>
      </c>
      <c r="AA45" s="1">
        <f t="shared" si="0"/>
        <v>-4.2188474935755949E-15</v>
      </c>
    </row>
    <row r="46" spans="2:27" x14ac:dyDescent="0.4">
      <c r="I46" s="40"/>
      <c r="N46" s="21" t="s">
        <v>83</v>
      </c>
      <c r="O46" s="4">
        <v>44832</v>
      </c>
      <c r="P46" s="5" t="s">
        <v>34</v>
      </c>
      <c r="Q46" s="4">
        <v>45044</v>
      </c>
      <c r="R46" s="5" t="s">
        <v>42</v>
      </c>
      <c r="S46" s="5">
        <v>1.0035685150354099</v>
      </c>
      <c r="T46" s="5">
        <v>-0.60756518342625199</v>
      </c>
      <c r="U46" s="5"/>
      <c r="V46" s="5"/>
      <c r="W46" s="5">
        <v>-0.60104765000000004</v>
      </c>
      <c r="X46" s="17">
        <v>0</v>
      </c>
      <c r="Y46" s="1">
        <f t="shared" si="1"/>
        <v>1.0035520754087315</v>
      </c>
      <c r="Z46" s="1">
        <f t="shared" si="2"/>
        <v>1.003568515035415</v>
      </c>
      <c r="AA46" s="1">
        <f t="shared" si="0"/>
        <v>-5.1070259132757201E-15</v>
      </c>
    </row>
    <row r="47" spans="2:27" x14ac:dyDescent="0.4">
      <c r="I47" s="40"/>
      <c r="N47" s="21" t="s">
        <v>83</v>
      </c>
      <c r="O47" s="4">
        <v>44832</v>
      </c>
      <c r="P47" s="5" t="s">
        <v>34</v>
      </c>
      <c r="Q47" s="4">
        <v>45076</v>
      </c>
      <c r="R47" s="5" t="s">
        <v>43</v>
      </c>
      <c r="S47" s="5">
        <v>1.00402037117686</v>
      </c>
      <c r="T47" s="5">
        <v>-0.59532257910201902</v>
      </c>
      <c r="U47" s="5"/>
      <c r="V47" s="5"/>
      <c r="W47" s="5">
        <v>-0.58838705000000002</v>
      </c>
      <c r="X47" s="17">
        <v>0</v>
      </c>
      <c r="Y47" s="1">
        <f t="shared" si="1"/>
        <v>1.0040039241482444</v>
      </c>
      <c r="Z47" s="1">
        <f t="shared" si="2"/>
        <v>1.00402037117686</v>
      </c>
      <c r="AA47" s="1">
        <f t="shared" si="0"/>
        <v>0</v>
      </c>
    </row>
    <row r="48" spans="2:27" x14ac:dyDescent="0.4">
      <c r="I48" s="40"/>
      <c r="N48" s="21" t="s">
        <v>83</v>
      </c>
      <c r="O48" s="4">
        <v>44832</v>
      </c>
      <c r="P48" s="5" t="s">
        <v>34</v>
      </c>
      <c r="Q48" s="4">
        <v>45105</v>
      </c>
      <c r="R48" s="5" t="s">
        <v>4</v>
      </c>
      <c r="S48" s="5">
        <v>1.00425323675463</v>
      </c>
      <c r="T48" s="5">
        <v>-0.56332338832717299</v>
      </c>
      <c r="U48" s="5"/>
      <c r="V48" s="5"/>
      <c r="W48" s="5">
        <v>-0.55633995000000003</v>
      </c>
      <c r="X48" s="17">
        <v>0</v>
      </c>
      <c r="Y48" s="1">
        <f t="shared" si="1"/>
        <v>1.0042367859114043</v>
      </c>
      <c r="Z48" s="1">
        <f t="shared" si="2"/>
        <v>1.0042532367546309</v>
      </c>
      <c r="AA48" s="1">
        <f t="shared" si="0"/>
        <v>0</v>
      </c>
    </row>
    <row r="49" spans="9:27" x14ac:dyDescent="0.4">
      <c r="I49" s="40"/>
      <c r="N49" s="21" t="s">
        <v>83</v>
      </c>
      <c r="O49" s="4">
        <v>44832</v>
      </c>
      <c r="P49" s="5" t="s">
        <v>34</v>
      </c>
      <c r="Q49" s="4">
        <v>45135</v>
      </c>
      <c r="R49" s="5" t="s">
        <v>44</v>
      </c>
      <c r="S49" s="5">
        <v>1.0049264737449699</v>
      </c>
      <c r="T49" s="5">
        <v>-0.58811413431433002</v>
      </c>
      <c r="U49" s="5"/>
      <c r="V49" s="5"/>
      <c r="W49" s="5">
        <v>-0.58051739999999996</v>
      </c>
      <c r="X49" s="17">
        <v>0</v>
      </c>
      <c r="Y49" s="1">
        <f t="shared" si="1"/>
        <v>1.0049100118733327</v>
      </c>
      <c r="Z49" s="1">
        <f t="shared" si="2"/>
        <v>1.004926473744969</v>
      </c>
      <c r="AA49" s="1">
        <f t="shared" si="0"/>
        <v>0</v>
      </c>
    </row>
    <row r="50" spans="9:27" x14ac:dyDescent="0.4">
      <c r="I50" s="40"/>
      <c r="N50" s="21" t="s">
        <v>83</v>
      </c>
      <c r="O50" s="4">
        <v>44832</v>
      </c>
      <c r="P50" s="5" t="s">
        <v>34</v>
      </c>
      <c r="Q50" s="4">
        <v>45166</v>
      </c>
      <c r="R50" s="5" t="s">
        <v>45</v>
      </c>
      <c r="S50" s="5">
        <v>1.0053873497238901</v>
      </c>
      <c r="T50" s="5">
        <v>-0.58366214322953203</v>
      </c>
      <c r="U50" s="5"/>
      <c r="V50" s="5"/>
      <c r="W50" s="5">
        <v>-0.57580469999999995</v>
      </c>
      <c r="X50" s="17">
        <v>0</v>
      </c>
      <c r="Y50" s="1">
        <f t="shared" si="1"/>
        <v>1.0053708803025703</v>
      </c>
      <c r="Z50" s="1">
        <f>Y50*$Z$36</f>
        <v>1.0053873497238943</v>
      </c>
      <c r="AA50" s="1">
        <f t="shared" si="0"/>
        <v>-4.2188474935755949E-15</v>
      </c>
    </row>
    <row r="51" spans="9:27" x14ac:dyDescent="0.4">
      <c r="I51" s="40"/>
      <c r="N51" s="21" t="s">
        <v>83</v>
      </c>
      <c r="O51" s="4">
        <v>44832</v>
      </c>
      <c r="P51" s="5" t="s">
        <v>34</v>
      </c>
      <c r="Q51" s="4">
        <v>45197</v>
      </c>
      <c r="R51" s="5" t="s">
        <v>5</v>
      </c>
      <c r="S51" s="5">
        <v>1.0057217899941</v>
      </c>
      <c r="T51" s="5">
        <v>-0.56743901805547703</v>
      </c>
      <c r="U51" s="5"/>
      <c r="V51" s="5"/>
      <c r="W51" s="5">
        <v>-0.55952374999999999</v>
      </c>
      <c r="X51" s="17">
        <v>0</v>
      </c>
      <c r="Y51" s="1">
        <f t="shared" si="1"/>
        <v>1.0057053150942559</v>
      </c>
      <c r="Z51" s="1">
        <f t="shared" si="2"/>
        <v>1.0057217899941029</v>
      </c>
      <c r="AA51" s="1">
        <f t="shared" si="0"/>
        <v>-2.886579864025407E-15</v>
      </c>
    </row>
    <row r="52" spans="9:27" x14ac:dyDescent="0.4">
      <c r="I52" s="40"/>
      <c r="N52" s="21" t="s">
        <v>83</v>
      </c>
      <c r="O52" s="4">
        <v>44832</v>
      </c>
      <c r="P52" s="5" t="s">
        <v>34</v>
      </c>
      <c r="Q52" s="4">
        <v>45565</v>
      </c>
      <c r="R52" s="5" t="s">
        <v>6</v>
      </c>
      <c r="S52" s="5">
        <v>1.0121882578763799</v>
      </c>
      <c r="T52" s="5">
        <v>-0.60160835164981696</v>
      </c>
      <c r="U52" s="5"/>
      <c r="V52" s="5"/>
      <c r="W52" s="5">
        <v>-0.59060179999999995</v>
      </c>
      <c r="X52" s="17">
        <v>0</v>
      </c>
      <c r="Y52" s="1">
        <f t="shared" si="1"/>
        <v>1.0121716770482201</v>
      </c>
      <c r="Z52" s="1">
        <f t="shared" si="2"/>
        <v>1.0121882578763783</v>
      </c>
      <c r="AA52" s="1">
        <f t="shared" si="0"/>
        <v>0</v>
      </c>
    </row>
    <row r="53" spans="9:27" x14ac:dyDescent="0.4">
      <c r="I53" s="40"/>
      <c r="N53" s="21" t="s">
        <v>83</v>
      </c>
      <c r="O53" s="4">
        <v>44832</v>
      </c>
      <c r="P53" s="5" t="s">
        <v>34</v>
      </c>
      <c r="Q53" s="4">
        <v>45929</v>
      </c>
      <c r="R53" s="5" t="s">
        <v>46</v>
      </c>
      <c r="S53" s="5">
        <v>1.0183835888599699</v>
      </c>
      <c r="T53" s="5">
        <v>-0.60501169505082797</v>
      </c>
      <c r="U53" s="5"/>
      <c r="V53" s="5"/>
      <c r="W53" s="5">
        <v>-0.59187175000000003</v>
      </c>
      <c r="X53" s="17">
        <v>0</v>
      </c>
      <c r="Y53" s="1">
        <f t="shared" si="1"/>
        <v>1.0183669065450398</v>
      </c>
      <c r="Z53" s="1">
        <f t="shared" si="2"/>
        <v>1.0183835888599695</v>
      </c>
      <c r="AA53" s="1">
        <f t="shared" si="0"/>
        <v>0</v>
      </c>
    </row>
    <row r="54" spans="9:27" x14ac:dyDescent="0.4">
      <c r="I54" s="40"/>
      <c r="N54" s="21" t="s">
        <v>83</v>
      </c>
      <c r="O54" s="4">
        <v>44832</v>
      </c>
      <c r="P54" s="5" t="s">
        <v>34</v>
      </c>
      <c r="Q54" s="4">
        <v>46293</v>
      </c>
      <c r="R54" s="5" t="s">
        <v>47</v>
      </c>
      <c r="S54" s="5">
        <v>1.0263475567850699</v>
      </c>
      <c r="T54" s="5">
        <v>-0.648827759598399</v>
      </c>
      <c r="U54" s="5"/>
      <c r="V54" s="5"/>
      <c r="W54" s="5">
        <v>-0.63216154999999996</v>
      </c>
      <c r="X54" s="17">
        <v>0</v>
      </c>
      <c r="Y54" s="1">
        <f t="shared" si="1"/>
        <v>1.0263307440110014</v>
      </c>
      <c r="Z54" s="1">
        <f t="shared" si="2"/>
        <v>1.0263475567850455</v>
      </c>
      <c r="AA54" s="1">
        <f t="shared" si="0"/>
        <v>2.4424906541753444E-14</v>
      </c>
    </row>
    <row r="55" spans="9:27" x14ac:dyDescent="0.4">
      <c r="N55" s="21" t="s">
        <v>83</v>
      </c>
      <c r="O55" s="4">
        <v>44832</v>
      </c>
      <c r="P55" s="5" t="s">
        <v>34</v>
      </c>
      <c r="Q55" s="4">
        <v>46658</v>
      </c>
      <c r="R55" s="5" t="s">
        <v>7</v>
      </c>
      <c r="S55" s="5">
        <v>1.0306391500023999</v>
      </c>
      <c r="T55" s="5">
        <v>-0.60259231283865899</v>
      </c>
      <c r="U55" s="5"/>
      <c r="V55" s="5"/>
      <c r="W55" s="5">
        <v>-0.58578675000000002</v>
      </c>
      <c r="X55" s="17">
        <v>0</v>
      </c>
      <c r="Y55" s="1">
        <f t="shared" si="1"/>
        <v>1.0306222669269764</v>
      </c>
      <c r="Z55" s="1">
        <f t="shared" si="2"/>
        <v>1.0306391500023395</v>
      </c>
      <c r="AA55" s="1">
        <f t="shared" si="0"/>
        <v>6.0396132539608516E-14</v>
      </c>
    </row>
    <row r="56" spans="9:27" x14ac:dyDescent="0.4">
      <c r="N56" s="21" t="s">
        <v>83</v>
      </c>
      <c r="O56" s="4">
        <v>44832</v>
      </c>
      <c r="P56" s="5" t="s">
        <v>34</v>
      </c>
      <c r="Q56" s="4">
        <v>47389</v>
      </c>
      <c r="R56" s="5" t="s">
        <v>8</v>
      </c>
      <c r="S56" s="5">
        <v>1.0378854934275901</v>
      </c>
      <c r="T56" s="5">
        <v>-0.53039055791950895</v>
      </c>
      <c r="U56" s="5"/>
      <c r="V56" s="5"/>
      <c r="W56" s="5">
        <v>-0.51369750000000003</v>
      </c>
      <c r="X56" s="17">
        <v>0</v>
      </c>
      <c r="Y56" s="1">
        <f t="shared" si="1"/>
        <v>1.0378684916483951</v>
      </c>
      <c r="Z56" s="1">
        <f t="shared" si="2"/>
        <v>1.0378854934273434</v>
      </c>
      <c r="AA56" s="1">
        <f t="shared" si="0"/>
        <v>2.4669155607170978E-13</v>
      </c>
    </row>
    <row r="57" spans="9:27" ht="18.5" thickBot="1" x14ac:dyDescent="0.45">
      <c r="N57" s="23" t="s">
        <v>83</v>
      </c>
      <c r="O57" s="16">
        <v>44832</v>
      </c>
      <c r="P57" s="9" t="s">
        <v>34</v>
      </c>
      <c r="Q57" s="16">
        <v>48485</v>
      </c>
      <c r="R57" s="9" t="s">
        <v>9</v>
      </c>
      <c r="S57" s="9">
        <v>1.0360673026038401</v>
      </c>
      <c r="T57" s="9">
        <v>-0.35383634902941002</v>
      </c>
      <c r="U57" s="9"/>
      <c r="V57" s="9"/>
      <c r="W57" s="9">
        <v>-0.34291084999999999</v>
      </c>
      <c r="X57" s="20">
        <v>0</v>
      </c>
      <c r="Y57" s="1">
        <f t="shared" si="1"/>
        <v>1.0360503306087991</v>
      </c>
      <c r="Z57" s="1">
        <f>Y57*$Z$36</f>
        <v>1.036067302603654</v>
      </c>
      <c r="AA57" s="1">
        <f t="shared" si="0"/>
        <v>1.8607337892717624E-13</v>
      </c>
    </row>
  </sheetData>
  <mergeCells count="55">
    <mergeCell ref="B2:D2"/>
    <mergeCell ref="E2:G2"/>
    <mergeCell ref="B3:D3"/>
    <mergeCell ref="E3:G3"/>
    <mergeCell ref="B4:D4"/>
    <mergeCell ref="E4:G4"/>
    <mergeCell ref="K30:L30"/>
    <mergeCell ref="K23:L23"/>
    <mergeCell ref="K24:L24"/>
    <mergeCell ref="K25:L25"/>
    <mergeCell ref="G29:J29"/>
    <mergeCell ref="G30:J30"/>
    <mergeCell ref="G23:J23"/>
    <mergeCell ref="G24:J24"/>
    <mergeCell ref="G25:J25"/>
    <mergeCell ref="G26:J26"/>
    <mergeCell ref="K26:L26"/>
    <mergeCell ref="E36:F36"/>
    <mergeCell ref="G19:L19"/>
    <mergeCell ref="G21:J21"/>
    <mergeCell ref="G22:J22"/>
    <mergeCell ref="G27:J27"/>
    <mergeCell ref="G28:J28"/>
    <mergeCell ref="E25:F25"/>
    <mergeCell ref="E26:F26"/>
    <mergeCell ref="E28:F28"/>
    <mergeCell ref="E29:F29"/>
    <mergeCell ref="E30:F30"/>
    <mergeCell ref="B19:F19"/>
    <mergeCell ref="E21:F21"/>
    <mergeCell ref="G32:L32"/>
    <mergeCell ref="K28:L28"/>
    <mergeCell ref="K29:L29"/>
    <mergeCell ref="E24:F24"/>
    <mergeCell ref="B34:D34"/>
    <mergeCell ref="B35:D35"/>
    <mergeCell ref="B32:F32"/>
    <mergeCell ref="E34:F34"/>
    <mergeCell ref="E35:F35"/>
    <mergeCell ref="K21:L21"/>
    <mergeCell ref="K27:L27"/>
    <mergeCell ref="B36:D36"/>
    <mergeCell ref="E27:F27"/>
    <mergeCell ref="B27:D27"/>
    <mergeCell ref="B28:D28"/>
    <mergeCell ref="B29:D29"/>
    <mergeCell ref="B30:D30"/>
    <mergeCell ref="B21:D21"/>
    <mergeCell ref="B22:D22"/>
    <mergeCell ref="B23:D23"/>
    <mergeCell ref="B24:D24"/>
    <mergeCell ref="B25:D25"/>
    <mergeCell ref="B26:D26"/>
    <mergeCell ref="E22:F22"/>
    <mergeCell ref="E23:F2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XVolProcess">
                <anchor moveWithCells="1" sizeWithCells="1">
                  <from>
                    <xdr:col>7</xdr:col>
                    <xdr:colOff>285750</xdr:colOff>
                    <xdr:row>1</xdr:row>
                    <xdr:rowOff>19050</xdr:rowOff>
                  </from>
                  <to>
                    <xdr:col>11</xdr:col>
                    <xdr:colOff>552450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2:AV184"/>
  <sheetViews>
    <sheetView zoomScale="57" zoomScaleNormal="46" workbookViewId="0">
      <selection activeCell="D19" sqref="D19"/>
    </sheetView>
  </sheetViews>
  <sheetFormatPr defaultRowHeight="17" x14ac:dyDescent="0.4"/>
  <cols>
    <col min="1" max="1" width="3.6328125" customWidth="1"/>
    <col min="2" max="2" width="16.36328125" customWidth="1"/>
    <col min="3" max="3" width="17.08984375" customWidth="1"/>
    <col min="4" max="4" width="15.6328125" bestFit="1" customWidth="1"/>
    <col min="5" max="5" width="20.54296875" customWidth="1"/>
    <col min="6" max="8" width="11.453125" customWidth="1"/>
    <col min="9" max="9" width="9.453125" customWidth="1"/>
    <col min="10" max="10" width="17.81640625" bestFit="1" customWidth="1"/>
    <col min="11" max="28" width="17.26953125" bestFit="1" customWidth="1"/>
    <col min="30" max="30" width="17.26953125" bestFit="1" customWidth="1"/>
    <col min="31" max="31" width="13.453125" customWidth="1"/>
    <col min="34" max="34" width="9.6328125" customWidth="1"/>
    <col min="35" max="35" width="12" customWidth="1"/>
    <col min="36" max="36" width="11" bestFit="1" customWidth="1"/>
  </cols>
  <sheetData>
    <row r="2" spans="2:48" ht="18" x14ac:dyDescent="0.4">
      <c r="B2" s="64"/>
      <c r="C2" s="105"/>
      <c r="D2" s="105"/>
      <c r="E2" s="105" t="s">
        <v>134</v>
      </c>
      <c r="F2" s="105"/>
      <c r="G2" s="105"/>
      <c r="H2" s="105"/>
      <c r="I2" s="105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</row>
    <row r="3" spans="2:48" ht="18" x14ac:dyDescent="0.4">
      <c r="B3" s="65"/>
      <c r="C3" s="66"/>
      <c r="D3" s="66"/>
      <c r="E3" s="105" t="s">
        <v>135</v>
      </c>
      <c r="F3" s="105"/>
      <c r="G3" s="105"/>
      <c r="H3" s="105"/>
      <c r="I3" s="105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</row>
    <row r="4" spans="2:48" ht="18" x14ac:dyDescent="0.4">
      <c r="B4" s="65">
        <v>44830</v>
      </c>
      <c r="C4" s="64">
        <v>-4.7962790128971301E-3</v>
      </c>
      <c r="D4" s="64">
        <v>3.0723508099563267E-2</v>
      </c>
      <c r="E4" s="64">
        <v>-0.92512217140602049</v>
      </c>
      <c r="F4" s="64">
        <v>-0.76241090101414577</v>
      </c>
      <c r="G4" s="64">
        <v>-0.49960477031886963</v>
      </c>
      <c r="H4" s="64">
        <v>-0.25</v>
      </c>
      <c r="I4" s="64">
        <v>-0.1</v>
      </c>
      <c r="J4" s="25">
        <v>-0.98289729961504202</v>
      </c>
      <c r="K4" s="25">
        <v>-0.92512217140602193</v>
      </c>
      <c r="L4" s="25">
        <v>-0.86989304364791653</v>
      </c>
      <c r="M4" s="25">
        <v>-0.81579835058717465</v>
      </c>
      <c r="N4" s="25">
        <v>-0.76241090101414533</v>
      </c>
      <c r="O4" s="25">
        <v>-0.70948931166235518</v>
      </c>
      <c r="P4" s="25">
        <v>-0.65682552285537488</v>
      </c>
      <c r="Q4" s="25">
        <v>-0.60427568743642346</v>
      </c>
      <c r="R4" s="25">
        <v>-0.5517483987572136</v>
      </c>
      <c r="S4" s="25">
        <v>-0.49960477031886963</v>
      </c>
      <c r="T4" s="25">
        <v>-0.45</v>
      </c>
      <c r="U4" s="25">
        <v>-0.4</v>
      </c>
      <c r="V4" s="25">
        <v>-0.35000000000000003</v>
      </c>
      <c r="W4" s="25">
        <v>-0.30000000000000004</v>
      </c>
      <c r="X4" s="25">
        <v>-0.25</v>
      </c>
      <c r="Y4" s="25">
        <v>-0.2</v>
      </c>
      <c r="Z4" s="25">
        <v>-0.15000000000000002</v>
      </c>
      <c r="AA4" s="25">
        <v>-0.1</v>
      </c>
      <c r="AB4" s="25">
        <v>-0.05</v>
      </c>
      <c r="AD4" s="1">
        <v>-98.29</v>
      </c>
      <c r="AE4" s="1">
        <v>-92.51</v>
      </c>
      <c r="AF4" s="1">
        <v>-86.99</v>
      </c>
      <c r="AG4" s="1">
        <v>-81.58</v>
      </c>
      <c r="AH4" s="1">
        <v>-76.239999999999995</v>
      </c>
      <c r="AI4" s="1">
        <v>-70.95</v>
      </c>
      <c r="AJ4" s="1">
        <v>-65.680000000000007</v>
      </c>
      <c r="AK4" s="1">
        <v>-60.43</v>
      </c>
      <c r="AL4" s="1">
        <v>-55.18</v>
      </c>
      <c r="AM4" s="47">
        <v>-49.96</v>
      </c>
      <c r="AN4" s="1">
        <v>-45</v>
      </c>
      <c r="AO4" s="1">
        <v>-40</v>
      </c>
      <c r="AP4" s="1">
        <v>-35</v>
      </c>
      <c r="AQ4" s="1">
        <v>-30</v>
      </c>
      <c r="AR4" s="1">
        <v>-25</v>
      </c>
      <c r="AS4" s="1">
        <v>-20</v>
      </c>
      <c r="AT4" s="1">
        <v>-15</v>
      </c>
      <c r="AU4" s="1">
        <v>-10</v>
      </c>
      <c r="AV4" s="1">
        <v>-5</v>
      </c>
    </row>
    <row r="5" spans="2:48" ht="18" x14ac:dyDescent="0.4">
      <c r="B5" s="65">
        <v>44837</v>
      </c>
      <c r="C5" s="64">
        <v>1.9178082191780823E-2</v>
      </c>
      <c r="D5" s="64">
        <v>143.7320561666414</v>
      </c>
      <c r="E5" s="64">
        <v>14.265499999999999</v>
      </c>
      <c r="F5" s="64">
        <v>13.834</v>
      </c>
      <c r="G5" s="64">
        <v>14.497999999999999</v>
      </c>
      <c r="H5" s="64">
        <v>16.021999999999998</v>
      </c>
      <c r="I5" s="64">
        <v>18.970499999999998</v>
      </c>
      <c r="J5" s="25">
        <v>0.14418715986588704</v>
      </c>
      <c r="K5" s="25">
        <v>0.14265500000000003</v>
      </c>
      <c r="L5" s="25">
        <v>0.14095225291337288</v>
      </c>
      <c r="M5" s="25">
        <v>0.13929239119244929</v>
      </c>
      <c r="N5" s="25">
        <v>0.13833999999999999</v>
      </c>
      <c r="O5" s="25">
        <v>0.13855262607910029</v>
      </c>
      <c r="P5" s="25">
        <v>0.13970124903066658</v>
      </c>
      <c r="Q5" s="25">
        <v>0.14140495648006718</v>
      </c>
      <c r="R5" s="25">
        <v>0.14329197435959704</v>
      </c>
      <c r="S5" s="25">
        <v>0.14498</v>
      </c>
      <c r="T5" s="25">
        <v>0.14624723553015648</v>
      </c>
      <c r="U5" s="25">
        <v>0.14771325604290908</v>
      </c>
      <c r="V5" s="25">
        <v>0.15006518357677257</v>
      </c>
      <c r="W5" s="25">
        <v>0.15400132820478887</v>
      </c>
      <c r="X5" s="25">
        <v>0.16021999999999997</v>
      </c>
      <c r="Y5" s="25">
        <v>0.16905472091992105</v>
      </c>
      <c r="Z5" s="25">
        <v>0.17937986045996052</v>
      </c>
      <c r="AA5" s="25">
        <v>0.18970499999999998</v>
      </c>
      <c r="AB5" s="25">
        <v>0.19953333333333328</v>
      </c>
      <c r="AD5" s="1">
        <v>14.418699999999999</v>
      </c>
      <c r="AE5" s="1">
        <v>14.265499999999999</v>
      </c>
      <c r="AF5" s="1">
        <v>14.0952</v>
      </c>
      <c r="AG5" s="1">
        <v>13.9292</v>
      </c>
      <c r="AH5" s="1">
        <v>13.834</v>
      </c>
      <c r="AI5" s="1">
        <v>13.8553</v>
      </c>
      <c r="AJ5" s="1">
        <v>13.9701</v>
      </c>
      <c r="AK5" s="1">
        <v>14.140499999999999</v>
      </c>
      <c r="AL5" s="1">
        <v>14.3292</v>
      </c>
      <c r="AM5" s="48">
        <v>14.497999999999999</v>
      </c>
      <c r="AN5" s="1">
        <v>14.624700000000001</v>
      </c>
      <c r="AO5" s="1">
        <v>14.7713</v>
      </c>
      <c r="AP5" s="1">
        <v>15.006500000000001</v>
      </c>
      <c r="AQ5" s="1">
        <v>15.4001</v>
      </c>
      <c r="AR5" s="1">
        <v>16.021999999999998</v>
      </c>
      <c r="AS5" s="1">
        <v>16.9055</v>
      </c>
      <c r="AT5" s="1">
        <v>17.937999999999999</v>
      </c>
      <c r="AU5" s="1">
        <v>18.970500000000001</v>
      </c>
      <c r="AV5" s="1">
        <v>19.953299999999999</v>
      </c>
    </row>
    <row r="6" spans="2:48" ht="21.5" customHeight="1" x14ac:dyDescent="0.4">
      <c r="B6" s="65"/>
      <c r="C6" s="64"/>
      <c r="D6" s="64"/>
      <c r="E6" s="64"/>
      <c r="F6" s="64"/>
      <c r="G6" s="64"/>
      <c r="H6" s="64"/>
      <c r="I6" s="64"/>
      <c r="J6" s="25">
        <v>148.54795402438896</v>
      </c>
      <c r="K6" s="25">
        <v>147.42976019412365</v>
      </c>
      <c r="L6" s="25">
        <v>146.67772392673464</v>
      </c>
      <c r="M6" s="25">
        <v>146.08883839401247</v>
      </c>
      <c r="N6" s="25">
        <v>145.60166633574315</v>
      </c>
      <c r="O6" s="25">
        <v>145.18149279005803</v>
      </c>
      <c r="P6" s="25">
        <v>144.79839528619439</v>
      </c>
      <c r="Q6" s="25">
        <v>144.43168619059958</v>
      </c>
      <c r="R6" s="25">
        <v>144.06821969430266</v>
      </c>
      <c r="S6" s="25">
        <v>143.70308931846913</v>
      </c>
      <c r="T6" s="25">
        <v>143.34810779197139</v>
      </c>
      <c r="U6" s="25">
        <v>142.97695208772356</v>
      </c>
      <c r="V6" s="25">
        <v>142.5791734853976</v>
      </c>
      <c r="W6" s="25">
        <v>142.13213236874273</v>
      </c>
      <c r="X6" s="25">
        <v>141.60070138677477</v>
      </c>
      <c r="Y6" s="25">
        <v>140.93697731952091</v>
      </c>
      <c r="Z6" s="25">
        <v>140.09443917145111</v>
      </c>
      <c r="AA6" s="25">
        <v>138.99673134316262</v>
      </c>
      <c r="AB6" s="25">
        <v>137.37774132444824</v>
      </c>
      <c r="AD6" s="1">
        <v>148.54849999999999</v>
      </c>
      <c r="AE6" s="1">
        <v>147.43029999999999</v>
      </c>
      <c r="AF6" s="1">
        <v>146.6782</v>
      </c>
      <c r="AG6" s="1">
        <v>146.08930000000001</v>
      </c>
      <c r="AH6" s="1">
        <v>145.60220000000001</v>
      </c>
      <c r="AI6" s="1">
        <v>145.18199999999999</v>
      </c>
      <c r="AJ6" s="1">
        <v>144.7989</v>
      </c>
      <c r="AK6" s="1">
        <v>144.43219999999999</v>
      </c>
      <c r="AL6" s="1">
        <v>144.06870000000001</v>
      </c>
      <c r="AM6" s="48">
        <v>143.70359999999999</v>
      </c>
      <c r="AN6" s="1">
        <v>143.3486</v>
      </c>
      <c r="AO6" s="1">
        <v>142.97739999999999</v>
      </c>
      <c r="AP6" s="1">
        <v>142.5797</v>
      </c>
      <c r="AQ6" s="1">
        <v>142.1326</v>
      </c>
      <c r="AR6" s="1">
        <v>141.60120000000001</v>
      </c>
      <c r="AS6" s="1">
        <v>140.9375</v>
      </c>
      <c r="AT6" s="1">
        <v>140.0949</v>
      </c>
      <c r="AU6" s="1">
        <v>138.99719999999999</v>
      </c>
      <c r="AV6" s="1">
        <v>137.37819999999999</v>
      </c>
    </row>
    <row r="7" spans="2:48" ht="18" x14ac:dyDescent="0.4">
      <c r="B7" s="65">
        <v>44830</v>
      </c>
      <c r="C7" s="64">
        <v>-3.1980762861718386E-3</v>
      </c>
      <c r="D7" s="64">
        <v>3.0791337164634103E-2</v>
      </c>
      <c r="E7" s="64">
        <v>-0.94822262918598954</v>
      </c>
      <c r="F7" s="64">
        <v>-0.77332236258170028</v>
      </c>
      <c r="G7" s="64">
        <v>-0.49836031002025372</v>
      </c>
      <c r="H7" s="64">
        <v>-0.25</v>
      </c>
      <c r="I7" s="64">
        <v>-0.1</v>
      </c>
      <c r="J7" s="25">
        <v>-1.0134430789537088</v>
      </c>
      <c r="K7" s="25">
        <v>-0.94822262918598976</v>
      </c>
      <c r="L7" s="25">
        <v>-0.88805021773919757</v>
      </c>
      <c r="M7" s="25">
        <v>-0.83005724171606354</v>
      </c>
      <c r="N7" s="25">
        <v>-0.77332236258169995</v>
      </c>
      <c r="O7" s="25">
        <v>-0.71738144406884219</v>
      </c>
      <c r="P7" s="25">
        <v>-0.66192086521301974</v>
      </c>
      <c r="Q7" s="25">
        <v>-0.60672640815444967</v>
      </c>
      <c r="R7" s="25">
        <v>-0.55164394956491736</v>
      </c>
      <c r="S7" s="25">
        <v>-0.49836031002025372</v>
      </c>
      <c r="T7" s="25">
        <v>-0.45</v>
      </c>
      <c r="U7" s="25">
        <v>-0.4</v>
      </c>
      <c r="V7" s="25">
        <v>-0.35000000000000003</v>
      </c>
      <c r="W7" s="25">
        <v>-0.30000000000000004</v>
      </c>
      <c r="X7" s="25">
        <v>-0.25</v>
      </c>
      <c r="Y7" s="25">
        <v>-0.2</v>
      </c>
      <c r="Z7" s="25">
        <v>-0.15000000000000002</v>
      </c>
      <c r="AA7" s="25">
        <v>-0.1</v>
      </c>
      <c r="AB7" s="25">
        <v>-0.05</v>
      </c>
      <c r="AD7" s="1">
        <v>-101.34</v>
      </c>
      <c r="AE7" s="1">
        <v>-94.82</v>
      </c>
      <c r="AF7" s="1">
        <v>-88.81</v>
      </c>
      <c r="AG7" s="1">
        <v>-83.01</v>
      </c>
      <c r="AH7" s="1">
        <v>-77.33</v>
      </c>
      <c r="AI7" s="1">
        <v>-71.739999999999995</v>
      </c>
      <c r="AJ7" s="1">
        <v>-66.19</v>
      </c>
      <c r="AK7" s="1">
        <v>-60.67</v>
      </c>
      <c r="AL7" s="1">
        <v>-55.16</v>
      </c>
      <c r="AM7" s="48">
        <v>-49.84</v>
      </c>
      <c r="AN7" s="1">
        <v>-45</v>
      </c>
      <c r="AO7" s="1">
        <v>-40</v>
      </c>
      <c r="AP7" s="1">
        <v>-35</v>
      </c>
      <c r="AQ7" s="1">
        <v>-30</v>
      </c>
      <c r="AR7" s="1">
        <v>-25</v>
      </c>
      <c r="AS7" s="1">
        <v>-20</v>
      </c>
      <c r="AT7" s="1">
        <v>-15</v>
      </c>
      <c r="AU7" s="1">
        <v>-10</v>
      </c>
      <c r="AV7" s="1">
        <v>-5</v>
      </c>
    </row>
    <row r="8" spans="2:48" ht="18" x14ac:dyDescent="0.4">
      <c r="B8" s="65">
        <v>44860</v>
      </c>
      <c r="C8" s="64">
        <v>8.2191780821917804E-2</v>
      </c>
      <c r="D8" s="64">
        <v>143.42874999708513</v>
      </c>
      <c r="E8" s="64">
        <v>13.429500000000001</v>
      </c>
      <c r="F8" s="64">
        <v>13.25</v>
      </c>
      <c r="G8" s="64">
        <v>13.545</v>
      </c>
      <c r="H8" s="64">
        <v>14.77</v>
      </c>
      <c r="I8" s="64">
        <v>16.794499999999999</v>
      </c>
      <c r="J8" s="25">
        <v>0.13496435694042097</v>
      </c>
      <c r="K8" s="25">
        <v>0.134295</v>
      </c>
      <c r="L8" s="25">
        <v>0.13358818489016924</v>
      </c>
      <c r="M8" s="25">
        <v>0.13291203267035728</v>
      </c>
      <c r="N8" s="25">
        <v>0.13250000000000001</v>
      </c>
      <c r="O8" s="25">
        <v>0.1325143746084784</v>
      </c>
      <c r="P8" s="25">
        <v>0.13290757416971927</v>
      </c>
      <c r="Q8" s="25">
        <v>0.13358936691676759</v>
      </c>
      <c r="R8" s="25">
        <v>0.13447544167803505</v>
      </c>
      <c r="S8" s="25">
        <v>0.13544999999999999</v>
      </c>
      <c r="T8" s="25">
        <v>0.13643274430560218</v>
      </c>
      <c r="U8" s="25">
        <v>0.13781878212532436</v>
      </c>
      <c r="V8" s="25">
        <v>0.13992606092346091</v>
      </c>
      <c r="W8" s="25">
        <v>0.14310349533626757</v>
      </c>
      <c r="X8" s="25">
        <v>0.1477</v>
      </c>
      <c r="Y8" s="25">
        <v>0.15385900503760616</v>
      </c>
      <c r="Z8" s="25">
        <v>0.16090200251880307</v>
      </c>
      <c r="AA8" s="25">
        <v>0.16794499999999998</v>
      </c>
      <c r="AB8" s="25">
        <v>0.17469333333333331</v>
      </c>
      <c r="AD8" s="1">
        <v>13.4964</v>
      </c>
      <c r="AE8" s="1">
        <v>13.429500000000001</v>
      </c>
      <c r="AF8" s="1">
        <v>13.3588</v>
      </c>
      <c r="AG8" s="1">
        <v>13.2912</v>
      </c>
      <c r="AH8" s="1">
        <v>13.25</v>
      </c>
      <c r="AI8" s="1">
        <v>13.2514</v>
      </c>
      <c r="AJ8" s="1">
        <v>13.290800000000001</v>
      </c>
      <c r="AK8" s="1">
        <v>13.3589</v>
      </c>
      <c r="AL8" s="1">
        <v>13.4475</v>
      </c>
      <c r="AM8" s="48">
        <v>13.545</v>
      </c>
      <c r="AN8" s="1">
        <v>13.6433</v>
      </c>
      <c r="AO8" s="1">
        <v>13.7819</v>
      </c>
      <c r="AP8" s="1">
        <v>13.992599999999999</v>
      </c>
      <c r="AQ8" s="1">
        <v>14.3103</v>
      </c>
      <c r="AR8" s="1">
        <v>14.77</v>
      </c>
      <c r="AS8" s="1">
        <v>15.385899999999999</v>
      </c>
      <c r="AT8" s="1">
        <v>16.090199999999999</v>
      </c>
      <c r="AU8" s="1">
        <v>16.794499999999999</v>
      </c>
      <c r="AV8" s="1">
        <v>17.4693</v>
      </c>
    </row>
    <row r="9" spans="2:48" ht="18" x14ac:dyDescent="0.4">
      <c r="B9" s="65"/>
      <c r="C9" s="64"/>
      <c r="D9" s="64"/>
      <c r="E9" s="64"/>
      <c r="F9" s="64"/>
      <c r="G9" s="64"/>
      <c r="H9" s="64"/>
      <c r="I9" s="64"/>
      <c r="J9" s="25">
        <v>152.91481824874165</v>
      </c>
      <c r="K9" s="25">
        <v>150.72623631524996</v>
      </c>
      <c r="L9" s="25">
        <v>149.26352290978207</v>
      </c>
      <c r="M9" s="25">
        <v>148.1141953152609</v>
      </c>
      <c r="N9" s="25">
        <v>147.14577223823855</v>
      </c>
      <c r="O9" s="25">
        <v>146.29151450446494</v>
      </c>
      <c r="P9" s="25">
        <v>145.50632586597894</v>
      </c>
      <c r="Q9" s="25">
        <v>144.75940346577525</v>
      </c>
      <c r="R9" s="25">
        <v>144.02858557165743</v>
      </c>
      <c r="S9" s="25">
        <v>143.32064919565053</v>
      </c>
      <c r="T9" s="25">
        <v>142.6664003328674</v>
      </c>
      <c r="U9" s="25">
        <v>141.96402072516221</v>
      </c>
      <c r="V9" s="25">
        <v>141.2126081848854</v>
      </c>
      <c r="W9" s="25">
        <v>140.37800303904743</v>
      </c>
      <c r="X9" s="25">
        <v>139.41006584413776</v>
      </c>
      <c r="Y9" s="25">
        <v>138.24014242200076</v>
      </c>
      <c r="Z9" s="25">
        <v>136.79156287883791</v>
      </c>
      <c r="AA9" s="25">
        <v>134.92724587556694</v>
      </c>
      <c r="AB9" s="25">
        <v>132.19323434205825</v>
      </c>
      <c r="AD9" s="1">
        <v>152.91480000000001</v>
      </c>
      <c r="AE9" s="1">
        <v>150.72620000000001</v>
      </c>
      <c r="AF9" s="1">
        <v>149.26349999999999</v>
      </c>
      <c r="AG9" s="1">
        <v>148.11420000000001</v>
      </c>
      <c r="AH9" s="1">
        <v>147.14580000000001</v>
      </c>
      <c r="AI9" s="1">
        <v>146.29150000000001</v>
      </c>
      <c r="AJ9" s="1">
        <v>145.50630000000001</v>
      </c>
      <c r="AK9" s="1">
        <v>144.7594</v>
      </c>
      <c r="AL9" s="1">
        <v>144.02860000000001</v>
      </c>
      <c r="AM9" s="48">
        <v>143.32060000000001</v>
      </c>
      <c r="AN9" s="1">
        <v>142.66640000000001</v>
      </c>
      <c r="AO9" s="1">
        <v>141.964</v>
      </c>
      <c r="AP9" s="1">
        <v>141.21260000000001</v>
      </c>
      <c r="AQ9" s="1">
        <v>140.37799999999999</v>
      </c>
      <c r="AR9" s="1">
        <v>139.4101</v>
      </c>
      <c r="AS9" s="1">
        <v>138.24010000000001</v>
      </c>
      <c r="AT9" s="1">
        <v>136.79159999999999</v>
      </c>
      <c r="AU9" s="1">
        <v>134.9273</v>
      </c>
      <c r="AV9" s="1">
        <v>132.19319999999999</v>
      </c>
    </row>
    <row r="10" spans="2:48" ht="18" x14ac:dyDescent="0.4">
      <c r="B10" s="65">
        <v>44830</v>
      </c>
      <c r="C10" s="64">
        <v>-3.2950753183676232E-3</v>
      </c>
      <c r="D10" s="64">
        <v>3.4868815421284893E-2</v>
      </c>
      <c r="E10" s="64">
        <v>-0.96748165048523815</v>
      </c>
      <c r="F10" s="64">
        <v>-0.78032914172707302</v>
      </c>
      <c r="G10" s="64">
        <v>-0.49647464747793052</v>
      </c>
      <c r="H10" s="64">
        <v>-0.25</v>
      </c>
      <c r="I10" s="64">
        <v>-0.1</v>
      </c>
      <c r="J10" s="25">
        <v>-1.0407249217891792</v>
      </c>
      <c r="K10" s="25">
        <v>-0.96748165048525259</v>
      </c>
      <c r="L10" s="25">
        <v>-0.90210600563802845</v>
      </c>
      <c r="M10" s="25">
        <v>-0.84018557368930002</v>
      </c>
      <c r="N10" s="25">
        <v>-0.78032914172707357</v>
      </c>
      <c r="O10" s="25">
        <v>-0.72180068099200323</v>
      </c>
      <c r="P10" s="25">
        <v>-0.66406548955923872</v>
      </c>
      <c r="Q10" s="25">
        <v>-0.60675651935919928</v>
      </c>
      <c r="R10" s="25">
        <v>-0.54961404176027251</v>
      </c>
      <c r="S10" s="25">
        <v>-0.49647464747793052</v>
      </c>
      <c r="T10" s="25">
        <v>-0.45</v>
      </c>
      <c r="U10" s="25">
        <v>-0.4</v>
      </c>
      <c r="V10" s="25">
        <v>-0.35000000000000003</v>
      </c>
      <c r="W10" s="25">
        <v>-0.30000000000000004</v>
      </c>
      <c r="X10" s="25">
        <v>-0.25</v>
      </c>
      <c r="Y10" s="25">
        <v>-0.2</v>
      </c>
      <c r="Z10" s="25">
        <v>-0.15000000000000002</v>
      </c>
      <c r="AA10" s="25">
        <v>-0.1</v>
      </c>
      <c r="AB10" s="25">
        <v>-0.05</v>
      </c>
      <c r="AD10" s="1">
        <v>-104.07</v>
      </c>
      <c r="AE10" s="1">
        <v>-96.75</v>
      </c>
      <c r="AF10" s="1">
        <v>-90.21</v>
      </c>
      <c r="AG10" s="1">
        <v>-84.02</v>
      </c>
      <c r="AH10" s="1">
        <v>-78.03</v>
      </c>
      <c r="AI10" s="1">
        <v>-72.180000000000007</v>
      </c>
      <c r="AJ10" s="1">
        <v>-66.41</v>
      </c>
      <c r="AK10" s="1">
        <v>-60.68</v>
      </c>
      <c r="AL10" s="1">
        <v>-54.96</v>
      </c>
      <c r="AM10" s="48">
        <v>-49.65</v>
      </c>
      <c r="AN10" s="1">
        <v>-45</v>
      </c>
      <c r="AO10" s="1">
        <v>-40</v>
      </c>
      <c r="AP10" s="1">
        <v>-35</v>
      </c>
      <c r="AQ10" s="1">
        <v>-30</v>
      </c>
      <c r="AR10" s="1">
        <v>-25</v>
      </c>
      <c r="AS10" s="1">
        <v>-20</v>
      </c>
      <c r="AT10" s="1">
        <v>-15</v>
      </c>
      <c r="AU10" s="1">
        <v>-10</v>
      </c>
      <c r="AV10" s="1">
        <v>-5</v>
      </c>
    </row>
    <row r="11" spans="2:48" ht="18" x14ac:dyDescent="0.4">
      <c r="B11" s="65">
        <v>44889</v>
      </c>
      <c r="C11" s="64">
        <v>0.16164383561643836</v>
      </c>
      <c r="D11" s="64">
        <v>142.94544999768203</v>
      </c>
      <c r="E11" s="64">
        <v>13.6675</v>
      </c>
      <c r="F11" s="64">
        <v>13.157000000000002</v>
      </c>
      <c r="G11" s="64">
        <v>13.345000000000001</v>
      </c>
      <c r="H11" s="64">
        <v>14.507000000000003</v>
      </c>
      <c r="I11" s="64">
        <v>16.3325</v>
      </c>
      <c r="J11" s="25">
        <v>0.13867287276423729</v>
      </c>
      <c r="K11" s="25">
        <v>0.13667500000000041</v>
      </c>
      <c r="L11" s="25">
        <v>0.13473073541134709</v>
      </c>
      <c r="M11" s="25">
        <v>0.13290268559613705</v>
      </c>
      <c r="N11" s="25">
        <v>0.13157000000000005</v>
      </c>
      <c r="O11" s="25">
        <v>0.13097988847596762</v>
      </c>
      <c r="P11" s="25">
        <v>0.13103226942997381</v>
      </c>
      <c r="Q11" s="25">
        <v>0.13156827372054916</v>
      </c>
      <c r="R11" s="25">
        <v>0.13244586609942904</v>
      </c>
      <c r="S11" s="25">
        <v>0.13345000000000001</v>
      </c>
      <c r="T11" s="25">
        <v>0.13444073340092846</v>
      </c>
      <c r="U11" s="25">
        <v>0.13584072899099292</v>
      </c>
      <c r="V11" s="25">
        <v>0.13787936622249952</v>
      </c>
      <c r="W11" s="25">
        <v>0.14085600369298848</v>
      </c>
      <c r="X11" s="25">
        <v>0.14507000000000003</v>
      </c>
      <c r="Y11" s="25">
        <v>0.15064276085531242</v>
      </c>
      <c r="Z11" s="25">
        <v>0.15698388042765621</v>
      </c>
      <c r="AA11" s="25">
        <v>0.163325</v>
      </c>
      <c r="AB11" s="25">
        <v>0.16940999999999998</v>
      </c>
      <c r="AD11" s="1">
        <v>13.8673</v>
      </c>
      <c r="AE11" s="1">
        <v>13.6675</v>
      </c>
      <c r="AF11" s="1">
        <v>13.473100000000001</v>
      </c>
      <c r="AG11" s="1">
        <v>13.2903</v>
      </c>
      <c r="AH11" s="1">
        <v>13.157</v>
      </c>
      <c r="AI11" s="1">
        <v>13.098000000000001</v>
      </c>
      <c r="AJ11" s="1">
        <v>13.103199999999999</v>
      </c>
      <c r="AK11" s="1">
        <v>13.1568</v>
      </c>
      <c r="AL11" s="1">
        <v>13.2446</v>
      </c>
      <c r="AM11" s="48">
        <v>13.345000000000001</v>
      </c>
      <c r="AN11" s="1">
        <v>13.444100000000001</v>
      </c>
      <c r="AO11" s="1">
        <v>13.584099999999999</v>
      </c>
      <c r="AP11" s="1">
        <v>13.7879</v>
      </c>
      <c r="AQ11" s="1">
        <v>14.085599999999999</v>
      </c>
      <c r="AR11" s="1">
        <v>14.507</v>
      </c>
      <c r="AS11" s="1">
        <v>15.064299999999999</v>
      </c>
      <c r="AT11" s="1">
        <v>15.698399999999999</v>
      </c>
      <c r="AU11" s="1">
        <v>16.3325</v>
      </c>
      <c r="AV11" s="1">
        <v>16.940999999999999</v>
      </c>
    </row>
    <row r="12" spans="2:48" ht="18" x14ac:dyDescent="0.4">
      <c r="B12" s="65"/>
      <c r="C12" s="64"/>
      <c r="D12" s="64"/>
      <c r="E12" s="64"/>
      <c r="F12" s="64"/>
      <c r="G12" s="64"/>
      <c r="H12" s="64"/>
      <c r="I12" s="64"/>
      <c r="J12" s="25">
        <v>156.79542952391807</v>
      </c>
      <c r="K12" s="25">
        <v>153.45412995806424</v>
      </c>
      <c r="L12" s="25">
        <v>151.24382854304466</v>
      </c>
      <c r="M12" s="25">
        <v>149.53022577283789</v>
      </c>
      <c r="N12" s="25">
        <v>148.11333004393543</v>
      </c>
      <c r="O12" s="25">
        <v>146.88733471053854</v>
      </c>
      <c r="P12" s="25">
        <v>145.77537454631991</v>
      </c>
      <c r="Q12" s="25">
        <v>144.72468513875342</v>
      </c>
      <c r="R12" s="25">
        <v>143.69792961074032</v>
      </c>
      <c r="S12" s="25">
        <v>142.73984951465908</v>
      </c>
      <c r="T12" s="25">
        <v>141.88522748046535</v>
      </c>
      <c r="U12" s="25">
        <v>140.93024905401793</v>
      </c>
      <c r="V12" s="25">
        <v>139.90989666425017</v>
      </c>
      <c r="W12" s="25">
        <v>138.78126177804083</v>
      </c>
      <c r="X12" s="25">
        <v>137.48173151798613</v>
      </c>
      <c r="Y12" s="25">
        <v>135.92533979510085</v>
      </c>
      <c r="Z12" s="25">
        <v>134.01334143558998</v>
      </c>
      <c r="AA12" s="25">
        <v>131.56612789836916</v>
      </c>
      <c r="AB12" s="25">
        <v>127.99492119856346</v>
      </c>
      <c r="AD12" s="1">
        <v>156.7954</v>
      </c>
      <c r="AE12" s="1">
        <v>153.45410000000001</v>
      </c>
      <c r="AF12" s="1">
        <v>151.24379999999999</v>
      </c>
      <c r="AG12" s="1">
        <v>149.53020000000001</v>
      </c>
      <c r="AH12" s="1">
        <v>148.11330000000001</v>
      </c>
      <c r="AI12" s="1">
        <v>146.88730000000001</v>
      </c>
      <c r="AJ12" s="1">
        <v>145.77539999999999</v>
      </c>
      <c r="AK12" s="1">
        <v>144.72470000000001</v>
      </c>
      <c r="AL12" s="1">
        <v>143.6979</v>
      </c>
      <c r="AM12" s="48">
        <v>142.7398</v>
      </c>
      <c r="AN12" s="1">
        <v>141.8852</v>
      </c>
      <c r="AO12" s="1">
        <v>140.93020000000001</v>
      </c>
      <c r="AP12" s="1">
        <v>139.90989999999999</v>
      </c>
      <c r="AQ12" s="1">
        <v>138.78129999999999</v>
      </c>
      <c r="AR12" s="1">
        <v>137.48169999999999</v>
      </c>
      <c r="AS12" s="1">
        <v>135.92529999999999</v>
      </c>
      <c r="AT12" s="1">
        <v>134.01329999999999</v>
      </c>
      <c r="AU12" s="1">
        <v>131.56610000000001</v>
      </c>
      <c r="AV12" s="1">
        <v>127.9949</v>
      </c>
    </row>
    <row r="13" spans="2:48" ht="18" x14ac:dyDescent="0.4">
      <c r="B13" s="65">
        <v>44830</v>
      </c>
      <c r="C13" s="64">
        <v>-3.2732672383959716E-3</v>
      </c>
      <c r="D13" s="64">
        <v>3.5883769502289678E-2</v>
      </c>
      <c r="E13" s="64">
        <v>-0.98256819009601348</v>
      </c>
      <c r="F13" s="64">
        <v>-0.78512132419869329</v>
      </c>
      <c r="G13" s="64">
        <v>-0.49449215934404006</v>
      </c>
      <c r="H13" s="64">
        <v>-0.25</v>
      </c>
      <c r="I13" s="64">
        <v>-0.1</v>
      </c>
      <c r="J13" s="25">
        <v>-1.0627273511567918</v>
      </c>
      <c r="K13" s="25">
        <v>-0.98256819009602192</v>
      </c>
      <c r="L13" s="25">
        <v>-0.91278664232852058</v>
      </c>
      <c r="M13" s="25">
        <v>-0.84757850189784767</v>
      </c>
      <c r="N13" s="25">
        <v>-0.78512132419869274</v>
      </c>
      <c r="O13" s="25">
        <v>-0.72443427509079072</v>
      </c>
      <c r="P13" s="25">
        <v>-0.66479813425879153</v>
      </c>
      <c r="Q13" s="25">
        <v>-0.60572532496684228</v>
      </c>
      <c r="R13" s="25">
        <v>-0.54687695284369953</v>
      </c>
      <c r="S13" s="25">
        <v>-0.49449215934404006</v>
      </c>
      <c r="T13" s="25">
        <v>-0.45</v>
      </c>
      <c r="U13" s="25">
        <v>-0.4</v>
      </c>
      <c r="V13" s="25">
        <v>-0.35000000000000003</v>
      </c>
      <c r="W13" s="25">
        <v>-0.30000000000000004</v>
      </c>
      <c r="X13" s="25">
        <v>-0.25</v>
      </c>
      <c r="Y13" s="25">
        <v>-0.2</v>
      </c>
      <c r="Z13" s="25">
        <v>-0.15000000000000002</v>
      </c>
      <c r="AA13" s="25">
        <v>-0.1</v>
      </c>
      <c r="AB13" s="25">
        <v>-0.05</v>
      </c>
      <c r="AD13" s="1">
        <v>-106.27</v>
      </c>
      <c r="AE13" s="1">
        <v>-98.26</v>
      </c>
      <c r="AF13" s="1">
        <v>-91.28</v>
      </c>
      <c r="AG13" s="1">
        <v>-84.76</v>
      </c>
      <c r="AH13" s="1">
        <v>-78.510000000000005</v>
      </c>
      <c r="AI13" s="1">
        <v>-72.44</v>
      </c>
      <c r="AJ13" s="1">
        <v>-66.48</v>
      </c>
      <c r="AK13" s="1">
        <v>-60.57</v>
      </c>
      <c r="AL13" s="1">
        <v>-54.69</v>
      </c>
      <c r="AM13" s="48">
        <v>-49.45</v>
      </c>
      <c r="AN13" s="1">
        <v>-45</v>
      </c>
      <c r="AO13" s="1">
        <v>-40</v>
      </c>
      <c r="AP13" s="1">
        <v>-35</v>
      </c>
      <c r="AQ13" s="1">
        <v>-30</v>
      </c>
      <c r="AR13" s="1">
        <v>-25</v>
      </c>
      <c r="AS13" s="1">
        <v>-20</v>
      </c>
      <c r="AT13" s="1">
        <v>-15</v>
      </c>
      <c r="AU13" s="1">
        <v>-10</v>
      </c>
      <c r="AV13" s="1">
        <v>-5</v>
      </c>
    </row>
    <row r="14" spans="2:48" ht="18" x14ac:dyDescent="0.4">
      <c r="B14" s="65">
        <v>44921</v>
      </c>
      <c r="C14" s="64">
        <v>0.24931506849315069</v>
      </c>
      <c r="D14" s="64">
        <v>142.43269998169899</v>
      </c>
      <c r="E14" s="64">
        <v>13.6835</v>
      </c>
      <c r="F14" s="64">
        <v>13.013000000000002</v>
      </c>
      <c r="G14" s="64">
        <v>13.073</v>
      </c>
      <c r="H14" s="64">
        <v>14.108000000000001</v>
      </c>
      <c r="I14" s="64">
        <v>15.908500000000002</v>
      </c>
      <c r="J14" s="25">
        <v>0.13955708511626627</v>
      </c>
      <c r="K14" s="25">
        <v>0.13683500000000029</v>
      </c>
      <c r="L14" s="25">
        <v>0.13427446778376628</v>
      </c>
      <c r="M14" s="25">
        <v>0.13190154359581807</v>
      </c>
      <c r="N14" s="25">
        <v>0.13013</v>
      </c>
      <c r="O14" s="25">
        <v>0.12921242602617619</v>
      </c>
      <c r="P14" s="25">
        <v>0.12900875521449168</v>
      </c>
      <c r="Q14" s="25">
        <v>0.12932263341070419</v>
      </c>
      <c r="R14" s="25">
        <v>0.12998247979786545</v>
      </c>
      <c r="S14" s="25">
        <v>0.13073000000000001</v>
      </c>
      <c r="T14" s="25">
        <v>0.13144443266849115</v>
      </c>
      <c r="U14" s="25">
        <v>0.13256011531370454</v>
      </c>
      <c r="V14" s="25">
        <v>0.1343207122932587</v>
      </c>
      <c r="W14" s="25">
        <v>0.13705206129330633</v>
      </c>
      <c r="X14" s="25">
        <v>0.14108000000000001</v>
      </c>
      <c r="Y14" s="25">
        <v>0.14654085753573376</v>
      </c>
      <c r="Z14" s="25">
        <v>0.1528129287678669</v>
      </c>
      <c r="AA14" s="25">
        <v>0.159085</v>
      </c>
      <c r="AB14" s="25">
        <v>0.16508666666666671</v>
      </c>
      <c r="AD14" s="1">
        <v>13.9557</v>
      </c>
      <c r="AE14" s="1">
        <v>13.6835</v>
      </c>
      <c r="AF14" s="1">
        <v>13.4274</v>
      </c>
      <c r="AG14" s="1">
        <v>13.190200000000001</v>
      </c>
      <c r="AH14" s="1">
        <v>13.013</v>
      </c>
      <c r="AI14" s="1">
        <v>12.921200000000001</v>
      </c>
      <c r="AJ14" s="1">
        <v>12.9009</v>
      </c>
      <c r="AK14" s="1">
        <v>12.9323</v>
      </c>
      <c r="AL14" s="1">
        <v>12.998200000000001</v>
      </c>
      <c r="AM14" s="48">
        <v>13.073</v>
      </c>
      <c r="AN14" s="1">
        <v>13.144399999999999</v>
      </c>
      <c r="AO14" s="1">
        <v>13.256</v>
      </c>
      <c r="AP14" s="1">
        <v>13.4321</v>
      </c>
      <c r="AQ14" s="1">
        <v>13.7052</v>
      </c>
      <c r="AR14" s="1">
        <v>14.108000000000001</v>
      </c>
      <c r="AS14" s="1">
        <v>14.6541</v>
      </c>
      <c r="AT14" s="1">
        <v>15.2813</v>
      </c>
      <c r="AU14" s="1">
        <v>15.9085</v>
      </c>
      <c r="AV14" s="1">
        <v>16.508700000000001</v>
      </c>
    </row>
    <row r="15" spans="2:48" ht="18" x14ac:dyDescent="0.4">
      <c r="B15" s="65"/>
      <c r="C15" s="64"/>
      <c r="D15" s="64"/>
      <c r="E15" s="64"/>
      <c r="F15" s="64"/>
      <c r="G15" s="64"/>
      <c r="H15" s="64"/>
      <c r="I15" s="64"/>
      <c r="J15" s="25">
        <v>159.91302065943816</v>
      </c>
      <c r="K15" s="25">
        <v>155.5787670430708</v>
      </c>
      <c r="L15" s="25">
        <v>152.73590796035703</v>
      </c>
      <c r="M15" s="25">
        <v>150.55030546541201</v>
      </c>
      <c r="N15" s="25">
        <v>148.76005117473397</v>
      </c>
      <c r="O15" s="25">
        <v>147.22418679339773</v>
      </c>
      <c r="P15" s="25">
        <v>145.83935124824572</v>
      </c>
      <c r="Q15" s="25">
        <v>144.53547358384364</v>
      </c>
      <c r="R15" s="25">
        <v>143.26385038463002</v>
      </c>
      <c r="S15" s="25">
        <v>142.12957884230386</v>
      </c>
      <c r="T15" s="25">
        <v>141.14978192241662</v>
      </c>
      <c r="U15" s="25">
        <v>140.0103508501245</v>
      </c>
      <c r="V15" s="25">
        <v>138.79646093128076</v>
      </c>
      <c r="W15" s="25">
        <v>137.45592343349799</v>
      </c>
      <c r="X15" s="25">
        <v>135.91224355762873</v>
      </c>
      <c r="Y15" s="25">
        <v>134.06125133342391</v>
      </c>
      <c r="Z15" s="25">
        <v>131.78768491589707</v>
      </c>
      <c r="AA15" s="25">
        <v>128.88492100593618</v>
      </c>
      <c r="AB15" s="25">
        <v>124.66771171349531</v>
      </c>
      <c r="AD15" s="1">
        <v>159.91300000000001</v>
      </c>
      <c r="AE15" s="1">
        <v>155.5788</v>
      </c>
      <c r="AF15" s="1">
        <v>152.73589999999999</v>
      </c>
      <c r="AG15" s="1">
        <v>150.55029999999999</v>
      </c>
      <c r="AH15" s="1">
        <v>148.76</v>
      </c>
      <c r="AI15" s="1">
        <v>147.2242</v>
      </c>
      <c r="AJ15" s="1">
        <v>145.83940000000001</v>
      </c>
      <c r="AK15" s="1">
        <v>144.53550000000001</v>
      </c>
      <c r="AL15" s="1">
        <v>143.26390000000001</v>
      </c>
      <c r="AM15" s="48">
        <v>142.12960000000001</v>
      </c>
      <c r="AN15" s="1">
        <v>141.1498</v>
      </c>
      <c r="AO15" s="1">
        <v>140.0104</v>
      </c>
      <c r="AP15" s="1">
        <v>138.79650000000001</v>
      </c>
      <c r="AQ15" s="1">
        <v>137.45590000000001</v>
      </c>
      <c r="AR15" s="1">
        <v>135.91220000000001</v>
      </c>
      <c r="AS15" s="1">
        <v>134.06129999999999</v>
      </c>
      <c r="AT15" s="1">
        <v>131.7877</v>
      </c>
      <c r="AU15" s="1">
        <v>128.88489999999999</v>
      </c>
      <c r="AV15" s="1">
        <v>124.6677</v>
      </c>
    </row>
    <row r="16" spans="2:48" ht="18" x14ac:dyDescent="0.4">
      <c r="B16" s="65">
        <v>44830</v>
      </c>
      <c r="C16" s="64">
        <v>-6.0304713085023512E-3</v>
      </c>
      <c r="D16" s="64">
        <v>4.0903251122836111E-2</v>
      </c>
      <c r="E16" s="64">
        <v>-1.0074470531070692</v>
      </c>
      <c r="F16" s="64">
        <v>-0.7884721154573977</v>
      </c>
      <c r="G16" s="64">
        <v>-0.48826439697499269</v>
      </c>
      <c r="H16" s="64">
        <v>-0.25</v>
      </c>
      <c r="I16" s="64">
        <v>-0.1</v>
      </c>
      <c r="J16" s="25">
        <v>-1.102956148363152</v>
      </c>
      <c r="K16" s="25">
        <v>-1.0074470531070732</v>
      </c>
      <c r="L16" s="25">
        <v>-0.92823501375660966</v>
      </c>
      <c r="M16" s="25">
        <v>-0.85619646743888567</v>
      </c>
      <c r="N16" s="25">
        <v>-0.78847211545739837</v>
      </c>
      <c r="O16" s="25">
        <v>-0.72350700931210443</v>
      </c>
      <c r="P16" s="25">
        <v>-0.66018626343203957</v>
      </c>
      <c r="Q16" s="25">
        <v>-0.59776691976128005</v>
      </c>
      <c r="R16" s="25">
        <v>-0.53573146610553202</v>
      </c>
      <c r="S16" s="25">
        <v>-0.48826439697499269</v>
      </c>
      <c r="T16" s="25">
        <v>-0.45</v>
      </c>
      <c r="U16" s="25">
        <v>-0.4</v>
      </c>
      <c r="V16" s="25">
        <v>-0.35000000000000003</v>
      </c>
      <c r="W16" s="25">
        <v>-0.30000000000000004</v>
      </c>
      <c r="X16" s="25">
        <v>-0.25</v>
      </c>
      <c r="Y16" s="25">
        <v>-0.2</v>
      </c>
      <c r="Z16" s="25">
        <v>-0.15000000000000002</v>
      </c>
      <c r="AA16" s="25">
        <v>-0.1</v>
      </c>
      <c r="AB16" s="25">
        <v>-0.05</v>
      </c>
      <c r="AD16" s="1">
        <v>-110.3</v>
      </c>
      <c r="AE16" s="1">
        <v>-100.74</v>
      </c>
      <c r="AF16" s="1">
        <v>-92.82</v>
      </c>
      <c r="AG16" s="1">
        <v>-85.62</v>
      </c>
      <c r="AH16" s="1">
        <v>-78.849999999999994</v>
      </c>
      <c r="AI16" s="1">
        <v>-72.349999999999994</v>
      </c>
      <c r="AJ16" s="1">
        <v>-66.02</v>
      </c>
      <c r="AK16" s="1">
        <v>-59.78</v>
      </c>
      <c r="AL16" s="1">
        <v>-53.57</v>
      </c>
      <c r="AM16" s="48">
        <v>-48.83</v>
      </c>
      <c r="AN16" s="1">
        <v>-45</v>
      </c>
      <c r="AO16" s="1">
        <v>-40</v>
      </c>
      <c r="AP16" s="1">
        <v>-35</v>
      </c>
      <c r="AQ16" s="1">
        <v>-30</v>
      </c>
      <c r="AR16" s="1">
        <v>-25</v>
      </c>
      <c r="AS16" s="1">
        <v>-20</v>
      </c>
      <c r="AT16" s="1">
        <v>-15</v>
      </c>
      <c r="AU16" s="1">
        <v>-10</v>
      </c>
      <c r="AV16" s="1">
        <v>-5</v>
      </c>
    </row>
    <row r="17" spans="2:48" ht="18" x14ac:dyDescent="0.4">
      <c r="B17" s="65">
        <v>45009</v>
      </c>
      <c r="C17" s="64">
        <v>0.49041095890410957</v>
      </c>
      <c r="D17" s="64">
        <v>140.55729999686946</v>
      </c>
      <c r="E17" s="64">
        <v>13.500499999999999</v>
      </c>
      <c r="F17" s="64">
        <v>12.504999999999999</v>
      </c>
      <c r="G17" s="64">
        <v>12.27</v>
      </c>
      <c r="H17" s="64">
        <v>13.055</v>
      </c>
      <c r="I17" s="64">
        <v>14.535499999999999</v>
      </c>
      <c r="J17" s="25">
        <v>0.13934701764585239</v>
      </c>
      <c r="K17" s="25">
        <v>0.13500500000000015</v>
      </c>
      <c r="L17" s="25">
        <v>0.13117405305500701</v>
      </c>
      <c r="M17" s="25">
        <v>0.1277228421645612</v>
      </c>
      <c r="N17" s="25">
        <v>0.12504999999999999</v>
      </c>
      <c r="O17" s="25">
        <v>0.12336877846032732</v>
      </c>
      <c r="P17" s="25">
        <v>0.1224989086455195</v>
      </c>
      <c r="Q17" s="25">
        <v>0.12222831396783335</v>
      </c>
      <c r="R17" s="25">
        <v>0.1223856810198075</v>
      </c>
      <c r="S17" s="25">
        <v>0.12269999999999999</v>
      </c>
      <c r="T17" s="25">
        <v>0.12305094002816279</v>
      </c>
      <c r="U17" s="25">
        <v>0.12379972254400563</v>
      </c>
      <c r="V17" s="25">
        <v>0.12512210514699387</v>
      </c>
      <c r="W17" s="25">
        <v>0.12728367018352588</v>
      </c>
      <c r="X17" s="25">
        <v>0.13055</v>
      </c>
      <c r="Y17" s="25">
        <v>0.13502821762455317</v>
      </c>
      <c r="Z17" s="25">
        <v>0.14019160881227657</v>
      </c>
      <c r="AA17" s="25">
        <v>0.14535499999999998</v>
      </c>
      <c r="AB17" s="25">
        <v>0.15028999999999998</v>
      </c>
      <c r="AD17" s="1">
        <v>13.934699999999999</v>
      </c>
      <c r="AE17" s="1">
        <v>13.500500000000001</v>
      </c>
      <c r="AF17" s="1">
        <v>13.1174</v>
      </c>
      <c r="AG17" s="1">
        <v>12.7723</v>
      </c>
      <c r="AH17" s="1">
        <v>12.505000000000001</v>
      </c>
      <c r="AI17" s="1">
        <v>12.3369</v>
      </c>
      <c r="AJ17" s="1">
        <v>12.2499</v>
      </c>
      <c r="AK17" s="1">
        <v>12.222799999999999</v>
      </c>
      <c r="AL17" s="1">
        <v>12.2386</v>
      </c>
      <c r="AM17" s="48">
        <v>12.27</v>
      </c>
      <c r="AN17" s="1">
        <v>12.305099999999999</v>
      </c>
      <c r="AO17" s="1">
        <v>12.38</v>
      </c>
      <c r="AP17" s="1">
        <v>12.5122</v>
      </c>
      <c r="AQ17" s="1">
        <v>12.728400000000001</v>
      </c>
      <c r="AR17" s="1">
        <v>13.055</v>
      </c>
      <c r="AS17" s="1">
        <v>13.502800000000001</v>
      </c>
      <c r="AT17" s="1">
        <v>14.0192</v>
      </c>
      <c r="AU17" s="1">
        <v>14.535500000000001</v>
      </c>
      <c r="AV17" s="1">
        <v>15.029</v>
      </c>
    </row>
    <row r="18" spans="2:48" ht="18" x14ac:dyDescent="0.4">
      <c r="B18" s="65"/>
      <c r="C18" s="64"/>
      <c r="D18" s="64"/>
      <c r="E18" s="64"/>
      <c r="F18" s="64"/>
      <c r="G18" s="64"/>
      <c r="H18" s="64"/>
      <c r="I18" s="64"/>
      <c r="J18" s="25">
        <v>165.33998106780149</v>
      </c>
      <c r="K18" s="25">
        <v>158.81373723907018</v>
      </c>
      <c r="L18" s="25">
        <v>154.62457701817664</v>
      </c>
      <c r="M18" s="25">
        <v>151.4641334608848</v>
      </c>
      <c r="N18" s="25">
        <v>148.922368082194</v>
      </c>
      <c r="O18" s="25">
        <v>146.77629308163708</v>
      </c>
      <c r="P18" s="25">
        <v>144.86602799935645</v>
      </c>
      <c r="Q18" s="25">
        <v>143.08502873905229</v>
      </c>
      <c r="R18" s="25">
        <v>141.35908132777487</v>
      </c>
      <c r="S18" s="25">
        <v>140.03936969595679</v>
      </c>
      <c r="T18" s="25">
        <v>138.96195027115303</v>
      </c>
      <c r="U18" s="25">
        <v>137.51304790049107</v>
      </c>
      <c r="V18" s="25">
        <v>135.97808442648412</v>
      </c>
      <c r="W18" s="25">
        <v>134.29531542115731</v>
      </c>
      <c r="X18" s="25">
        <v>132.37520322613318</v>
      </c>
      <c r="Y18" s="25">
        <v>130.09609463031646</v>
      </c>
      <c r="Z18" s="25">
        <v>127.32108357182598</v>
      </c>
      <c r="AA18" s="25">
        <v>123.8021769584293</v>
      </c>
      <c r="AB18" s="25">
        <v>118.72258148416834</v>
      </c>
      <c r="AD18" s="1">
        <v>165.34</v>
      </c>
      <c r="AE18" s="1">
        <v>158.81370000000001</v>
      </c>
      <c r="AF18" s="1">
        <v>154.62459999999999</v>
      </c>
      <c r="AG18" s="1">
        <v>151.4641</v>
      </c>
      <c r="AH18" s="1">
        <v>148.92240000000001</v>
      </c>
      <c r="AI18" s="1">
        <v>146.77629999999999</v>
      </c>
      <c r="AJ18" s="1">
        <v>144.86600000000001</v>
      </c>
      <c r="AK18" s="1">
        <v>143.08500000000001</v>
      </c>
      <c r="AL18" s="1">
        <v>141.35910000000001</v>
      </c>
      <c r="AM18" s="48">
        <v>140.0394</v>
      </c>
      <c r="AN18" s="1">
        <v>138.96199999999999</v>
      </c>
      <c r="AO18" s="1">
        <v>137.51300000000001</v>
      </c>
      <c r="AP18" s="1">
        <v>135.97810000000001</v>
      </c>
      <c r="AQ18" s="1">
        <v>134.2953</v>
      </c>
      <c r="AR18" s="1">
        <v>132.37520000000001</v>
      </c>
      <c r="AS18" s="1">
        <v>130.09610000000001</v>
      </c>
      <c r="AT18" s="1">
        <v>127.3211</v>
      </c>
      <c r="AU18" s="1">
        <v>123.8022</v>
      </c>
      <c r="AV18" s="1">
        <v>118.7226</v>
      </c>
    </row>
    <row r="19" spans="2:48" ht="18" x14ac:dyDescent="0.4">
      <c r="B19" s="65">
        <v>44830</v>
      </c>
      <c r="C19" s="64">
        <v>-5.6526012511621745E-3</v>
      </c>
      <c r="D19" s="64">
        <v>4.2851413500192337E-2</v>
      </c>
      <c r="E19" s="64">
        <v>-1.0256067290137745</v>
      </c>
      <c r="F19" s="64">
        <v>-0.7875844475876862</v>
      </c>
      <c r="G19" s="64">
        <v>-0.48169474437825693</v>
      </c>
      <c r="H19" s="64">
        <v>-0.25</v>
      </c>
      <c r="I19" s="64">
        <v>-0.1</v>
      </c>
      <c r="J19" s="25">
        <v>-1.1356134871174737</v>
      </c>
      <c r="K19" s="25">
        <v>-1.0256067290137847</v>
      </c>
      <c r="L19" s="25">
        <v>-0.93784707808019008</v>
      </c>
      <c r="M19" s="25">
        <v>-0.85981038029867274</v>
      </c>
      <c r="N19" s="25">
        <v>-0.78758444758769164</v>
      </c>
      <c r="O19" s="25">
        <v>-0.71902606285893222</v>
      </c>
      <c r="P19" s="25">
        <v>-0.65262665296841749</v>
      </c>
      <c r="Q19" s="25">
        <v>-0.58740540714955602</v>
      </c>
      <c r="R19" s="25">
        <v>-0.52269136566843499</v>
      </c>
      <c r="S19" s="25">
        <v>-0.48169474437825693</v>
      </c>
      <c r="T19" s="25">
        <v>-0.45</v>
      </c>
      <c r="U19" s="25">
        <v>-0.4</v>
      </c>
      <c r="V19" s="25">
        <v>-0.35000000000000003</v>
      </c>
      <c r="W19" s="25">
        <v>-0.30000000000000004</v>
      </c>
      <c r="X19" s="25">
        <v>-0.25</v>
      </c>
      <c r="Y19" s="25">
        <v>-0.2</v>
      </c>
      <c r="Z19" s="25">
        <v>-0.15000000000000002</v>
      </c>
      <c r="AA19" s="25">
        <v>-0.1</v>
      </c>
      <c r="AB19" s="25">
        <v>-0.05</v>
      </c>
      <c r="AD19" s="1">
        <v>-113.56</v>
      </c>
      <c r="AE19" s="1">
        <v>-102.56</v>
      </c>
      <c r="AF19" s="1">
        <v>-93.78</v>
      </c>
      <c r="AG19" s="1">
        <v>-85.98</v>
      </c>
      <c r="AH19" s="1">
        <v>-78.760000000000005</v>
      </c>
      <c r="AI19" s="1">
        <v>-71.900000000000006</v>
      </c>
      <c r="AJ19" s="1">
        <v>-65.260000000000005</v>
      </c>
      <c r="AK19" s="1">
        <v>-58.74</v>
      </c>
      <c r="AL19" s="1">
        <v>-52.27</v>
      </c>
      <c r="AM19" s="48">
        <v>-48.17</v>
      </c>
      <c r="AN19" s="1">
        <v>-45</v>
      </c>
      <c r="AO19" s="1">
        <v>-40</v>
      </c>
      <c r="AP19" s="1">
        <v>-35</v>
      </c>
      <c r="AQ19" s="1">
        <v>-30</v>
      </c>
      <c r="AR19" s="1">
        <v>-25</v>
      </c>
      <c r="AS19" s="1">
        <v>-20</v>
      </c>
      <c r="AT19" s="1">
        <v>-15</v>
      </c>
      <c r="AU19" s="1">
        <v>-10</v>
      </c>
      <c r="AV19" s="1">
        <v>-5</v>
      </c>
    </row>
    <row r="20" spans="2:48" ht="18" x14ac:dyDescent="0.4">
      <c r="B20" s="65">
        <v>45103</v>
      </c>
      <c r="C20" s="64">
        <v>0.74794520547945209</v>
      </c>
      <c r="D20" s="64">
        <v>138.70559998895891</v>
      </c>
      <c r="E20" s="64">
        <v>13.4825</v>
      </c>
      <c r="F20" s="64">
        <v>12.26</v>
      </c>
      <c r="G20" s="64">
        <v>11.845000000000001</v>
      </c>
      <c r="H20" s="64">
        <v>12.460000000000003</v>
      </c>
      <c r="I20" s="64">
        <v>13.882500000000002</v>
      </c>
      <c r="J20" s="25">
        <v>0.14047502826525435</v>
      </c>
      <c r="K20" s="25">
        <v>0.13482500000000053</v>
      </c>
      <c r="L20" s="25">
        <v>0.13004636924835183</v>
      </c>
      <c r="M20" s="25">
        <v>0.12584426914539715</v>
      </c>
      <c r="N20" s="25">
        <v>0.12260000000000021</v>
      </c>
      <c r="O20" s="25">
        <v>0.12048040992362273</v>
      </c>
      <c r="P20" s="25">
        <v>0.11924000473581588</v>
      </c>
      <c r="Q20" s="25">
        <v>0.11862336503021412</v>
      </c>
      <c r="R20" s="25">
        <v>0.11843135626084787</v>
      </c>
      <c r="S20" s="25">
        <v>0.11845</v>
      </c>
      <c r="T20" s="25">
        <v>0.11852231351401993</v>
      </c>
      <c r="U20" s="25">
        <v>0.11888995364234795</v>
      </c>
      <c r="V20" s="25">
        <v>0.11982799998549268</v>
      </c>
      <c r="W20" s="25">
        <v>0.12163262471439609</v>
      </c>
      <c r="X20" s="25">
        <v>0.12460000000000003</v>
      </c>
      <c r="Y20" s="25">
        <v>0.12885535909078588</v>
      </c>
      <c r="Z20" s="25">
        <v>0.13384017954539296</v>
      </c>
      <c r="AA20" s="25">
        <v>0.13882500000000003</v>
      </c>
      <c r="AB20" s="25">
        <v>0.1435666666666667</v>
      </c>
      <c r="AD20" s="1">
        <v>14.047499999999999</v>
      </c>
      <c r="AE20" s="1">
        <v>13.4825</v>
      </c>
      <c r="AF20" s="1">
        <v>13.0046</v>
      </c>
      <c r="AG20" s="1">
        <v>12.5844</v>
      </c>
      <c r="AH20" s="1">
        <v>12.26</v>
      </c>
      <c r="AI20" s="1">
        <v>12.048</v>
      </c>
      <c r="AJ20" s="1">
        <v>11.923999999999999</v>
      </c>
      <c r="AK20" s="1">
        <v>11.862299999999999</v>
      </c>
      <c r="AL20" s="1">
        <v>11.8431</v>
      </c>
      <c r="AM20" s="48">
        <v>11.845000000000001</v>
      </c>
      <c r="AN20" s="1">
        <v>11.8522</v>
      </c>
      <c r="AO20" s="1">
        <v>11.888999999999999</v>
      </c>
      <c r="AP20" s="1">
        <v>11.982799999999999</v>
      </c>
      <c r="AQ20" s="1">
        <v>12.1633</v>
      </c>
      <c r="AR20" s="1">
        <v>12.46</v>
      </c>
      <c r="AS20" s="1">
        <v>12.8855</v>
      </c>
      <c r="AT20" s="1">
        <v>13.384</v>
      </c>
      <c r="AU20" s="1">
        <v>13.8825</v>
      </c>
      <c r="AV20" s="1">
        <v>14.3567</v>
      </c>
    </row>
    <row r="21" spans="2:48" ht="18" x14ac:dyDescent="0.4">
      <c r="B21" s="65"/>
      <c r="C21" s="64"/>
      <c r="D21" s="64"/>
      <c r="E21" s="64"/>
      <c r="F21" s="64"/>
      <c r="G21" s="64"/>
      <c r="H21" s="64"/>
      <c r="I21" s="64"/>
      <c r="J21" s="25">
        <v>169.80735046201636</v>
      </c>
      <c r="K21" s="25">
        <v>161.21299090544957</v>
      </c>
      <c r="L21" s="25">
        <v>155.80493309481079</v>
      </c>
      <c r="M21" s="25">
        <v>151.78942768962298</v>
      </c>
      <c r="N21" s="25">
        <v>148.60615861736014</v>
      </c>
      <c r="O21" s="25">
        <v>145.94816748122091</v>
      </c>
      <c r="P21" s="25">
        <v>143.59939161715809</v>
      </c>
      <c r="Q21" s="25">
        <v>141.41935617448112</v>
      </c>
      <c r="R21" s="25">
        <v>139.31196415706071</v>
      </c>
      <c r="S21" s="25">
        <v>137.97971963563816</v>
      </c>
      <c r="T21" s="25">
        <v>136.94108000786576</v>
      </c>
      <c r="U21" s="25">
        <v>135.26520643009414</v>
      </c>
      <c r="V21" s="25">
        <v>133.49946280571879</v>
      </c>
      <c r="W21" s="25">
        <v>131.57099303030245</v>
      </c>
      <c r="X21" s="25">
        <v>129.37334205845389</v>
      </c>
      <c r="Y21" s="25">
        <v>126.76328517576853</v>
      </c>
      <c r="Z21" s="25">
        <v>123.58760461822921</v>
      </c>
      <c r="AA21" s="25">
        <v>119.57480742502975</v>
      </c>
      <c r="AB21" s="25">
        <v>113.81650971017723</v>
      </c>
      <c r="AD21" s="1">
        <v>169.8073</v>
      </c>
      <c r="AE21" s="1">
        <v>161.21299999999999</v>
      </c>
      <c r="AF21" s="1">
        <v>155.8049</v>
      </c>
      <c r="AG21" s="1">
        <v>151.7894</v>
      </c>
      <c r="AH21" s="1">
        <v>148.6062</v>
      </c>
      <c r="AI21" s="1">
        <v>145.94820000000001</v>
      </c>
      <c r="AJ21" s="1">
        <v>143.5994</v>
      </c>
      <c r="AK21" s="1">
        <v>141.4194</v>
      </c>
      <c r="AL21" s="1">
        <v>139.31200000000001</v>
      </c>
      <c r="AM21" s="48">
        <v>137.97970000000001</v>
      </c>
      <c r="AN21" s="1">
        <v>136.94110000000001</v>
      </c>
      <c r="AO21" s="1">
        <v>135.26519999999999</v>
      </c>
      <c r="AP21" s="1">
        <v>133.49950000000001</v>
      </c>
      <c r="AQ21" s="1">
        <v>131.571</v>
      </c>
      <c r="AR21" s="1">
        <v>129.3733</v>
      </c>
      <c r="AS21" s="1">
        <v>126.7633</v>
      </c>
      <c r="AT21" s="1">
        <v>123.58759999999999</v>
      </c>
      <c r="AU21" s="1">
        <v>119.5748</v>
      </c>
      <c r="AV21" s="1">
        <v>113.8165</v>
      </c>
    </row>
    <row r="22" spans="2:48" ht="18" x14ac:dyDescent="0.4">
      <c r="B22" s="65">
        <v>44830</v>
      </c>
      <c r="C22" s="64">
        <v>-5.6891014242549135E-3</v>
      </c>
      <c r="D22" s="64">
        <v>4.3955214190315707E-2</v>
      </c>
      <c r="E22" s="64">
        <v>-1.0380680582871933</v>
      </c>
      <c r="F22" s="64">
        <v>-0.78414883721193418</v>
      </c>
      <c r="G22" s="64">
        <v>-0.4753228722771517</v>
      </c>
      <c r="H22" s="64">
        <v>-0.25</v>
      </c>
      <c r="I22" s="64">
        <v>-0.1</v>
      </c>
      <c r="J22" s="25">
        <v>-1.1607295382730851</v>
      </c>
      <c r="K22" s="25">
        <v>-1.0380680582872019</v>
      </c>
      <c r="L22" s="25">
        <v>-0.94311437204379867</v>
      </c>
      <c r="M22" s="25">
        <v>-0.86011335620322849</v>
      </c>
      <c r="N22" s="25">
        <v>-0.78414883721196027</v>
      </c>
      <c r="O22" s="25">
        <v>-0.71257587514761467</v>
      </c>
      <c r="P22" s="25">
        <v>-0.64360093353315007</v>
      </c>
      <c r="Q22" s="25">
        <v>-0.57606679760729873</v>
      </c>
      <c r="R22" s="25">
        <v>-0.50916892981572437</v>
      </c>
      <c r="S22" s="25">
        <v>-0.4753228722771517</v>
      </c>
      <c r="T22" s="25">
        <v>-0.45</v>
      </c>
      <c r="U22" s="25">
        <v>-0.4</v>
      </c>
      <c r="V22" s="25">
        <v>-0.35000000000000003</v>
      </c>
      <c r="W22" s="25">
        <v>-0.30000000000000004</v>
      </c>
      <c r="X22" s="25">
        <v>-0.25</v>
      </c>
      <c r="Y22" s="25">
        <v>-0.2</v>
      </c>
      <c r="Z22" s="25">
        <v>-0.15000000000000002</v>
      </c>
      <c r="AA22" s="25">
        <v>-0.1</v>
      </c>
      <c r="AB22" s="25">
        <v>-0.05</v>
      </c>
      <c r="AD22" s="1">
        <v>-116.07</v>
      </c>
      <c r="AE22" s="1">
        <v>-103.81</v>
      </c>
      <c r="AF22" s="1">
        <v>-94.31</v>
      </c>
      <c r="AG22" s="1">
        <v>-86.01</v>
      </c>
      <c r="AH22" s="1">
        <v>-78.41</v>
      </c>
      <c r="AI22" s="1">
        <v>-71.260000000000005</v>
      </c>
      <c r="AJ22" s="1">
        <v>-64.36</v>
      </c>
      <c r="AK22" s="1">
        <v>-57.61</v>
      </c>
      <c r="AL22" s="1">
        <v>-50.92</v>
      </c>
      <c r="AM22" s="48">
        <v>-47.53</v>
      </c>
      <c r="AN22" s="1">
        <v>-45</v>
      </c>
      <c r="AO22" s="1">
        <v>-40</v>
      </c>
      <c r="AP22" s="1">
        <v>-35</v>
      </c>
      <c r="AQ22" s="1">
        <v>-30</v>
      </c>
      <c r="AR22" s="1">
        <v>-25</v>
      </c>
      <c r="AS22" s="1">
        <v>-20</v>
      </c>
      <c r="AT22" s="1">
        <v>-15</v>
      </c>
      <c r="AU22" s="1">
        <v>-10</v>
      </c>
      <c r="AV22" s="1">
        <v>-5</v>
      </c>
    </row>
    <row r="23" spans="2:48" ht="18" x14ac:dyDescent="0.4">
      <c r="B23" s="65">
        <v>45195</v>
      </c>
      <c r="C23" s="64">
        <v>1</v>
      </c>
      <c r="D23" s="64">
        <v>136.8639998572138</v>
      </c>
      <c r="E23" s="64">
        <v>13.468</v>
      </c>
      <c r="F23" s="64">
        <v>12.111999999999998</v>
      </c>
      <c r="G23" s="64">
        <v>11.54</v>
      </c>
      <c r="H23" s="64">
        <v>12.032</v>
      </c>
      <c r="I23" s="64">
        <v>13.327999999999999</v>
      </c>
      <c r="J23" s="25">
        <v>0.14123046774940962</v>
      </c>
      <c r="K23" s="25">
        <v>0.13468000000000047</v>
      </c>
      <c r="L23" s="25">
        <v>0.12933688534162047</v>
      </c>
      <c r="M23" s="25">
        <v>0.12471964727270642</v>
      </c>
      <c r="N23" s="25">
        <v>0.12112000000000105</v>
      </c>
      <c r="O23" s="25">
        <v>0.11864132146696801</v>
      </c>
      <c r="P23" s="25">
        <v>0.11703346953633488</v>
      </c>
      <c r="Q23" s="25">
        <v>0.11605760734623</v>
      </c>
      <c r="R23" s="25">
        <v>0.11553720817875743</v>
      </c>
      <c r="S23" s="25">
        <v>0.11539999999999999</v>
      </c>
      <c r="T23" s="25">
        <v>0.115345797051085</v>
      </c>
      <c r="U23" s="25">
        <v>0.11548060538263633</v>
      </c>
      <c r="V23" s="25">
        <v>0.11616901889977481</v>
      </c>
      <c r="W23" s="25">
        <v>0.11768937222979713</v>
      </c>
      <c r="X23" s="25">
        <v>0.12032</v>
      </c>
      <c r="Y23" s="25">
        <v>0.12417713031084091</v>
      </c>
      <c r="Z23" s="25">
        <v>0.12872856515542044</v>
      </c>
      <c r="AA23" s="25">
        <v>0.13327999999999998</v>
      </c>
      <c r="AB23" s="25">
        <v>0.1376</v>
      </c>
      <c r="AD23" s="1">
        <v>14.122999999999999</v>
      </c>
      <c r="AE23" s="1">
        <v>13.468</v>
      </c>
      <c r="AF23" s="1">
        <v>12.9337</v>
      </c>
      <c r="AG23" s="1">
        <v>12.472</v>
      </c>
      <c r="AH23" s="1">
        <v>12.112</v>
      </c>
      <c r="AI23" s="1">
        <v>11.864100000000001</v>
      </c>
      <c r="AJ23" s="1">
        <v>11.7033</v>
      </c>
      <c r="AK23" s="1">
        <v>11.6058</v>
      </c>
      <c r="AL23" s="1">
        <v>11.553699999999999</v>
      </c>
      <c r="AM23" s="48">
        <v>11.54</v>
      </c>
      <c r="AN23" s="1">
        <v>11.534599999999999</v>
      </c>
      <c r="AO23" s="1">
        <v>11.5481</v>
      </c>
      <c r="AP23" s="1">
        <v>11.616899999999999</v>
      </c>
      <c r="AQ23" s="1">
        <v>11.7689</v>
      </c>
      <c r="AR23" s="1">
        <v>12.032</v>
      </c>
      <c r="AS23" s="1">
        <v>12.4177</v>
      </c>
      <c r="AT23" s="1">
        <v>12.8729</v>
      </c>
      <c r="AU23" s="1">
        <v>13.327999999999999</v>
      </c>
      <c r="AV23" s="1">
        <v>13.76</v>
      </c>
    </row>
    <row r="24" spans="2:48" ht="18" x14ac:dyDescent="0.4">
      <c r="B24" s="65"/>
      <c r="C24" s="64"/>
      <c r="D24" s="64"/>
      <c r="E24" s="64"/>
      <c r="F24" s="64"/>
      <c r="G24" s="64"/>
      <c r="H24" s="64"/>
      <c r="I24" s="64"/>
      <c r="J24" s="25">
        <v>173.15134649904692</v>
      </c>
      <c r="K24" s="25">
        <v>162.7597332605406</v>
      </c>
      <c r="L24" s="25">
        <v>156.3307240912068</v>
      </c>
      <c r="M24" s="25">
        <v>151.61111484075317</v>
      </c>
      <c r="N24" s="25">
        <v>147.8978235709699</v>
      </c>
      <c r="O24" s="25">
        <v>144.81258668582527</v>
      </c>
      <c r="P24" s="25">
        <v>142.09890325247014</v>
      </c>
      <c r="Q24" s="25">
        <v>139.59127528992045</v>
      </c>
      <c r="R24" s="25">
        <v>137.17464261632821</v>
      </c>
      <c r="S24" s="25">
        <v>135.95570729029251</v>
      </c>
      <c r="T24" s="25">
        <v>135.03844019858246</v>
      </c>
      <c r="U24" s="25">
        <v>133.19348821478425</v>
      </c>
      <c r="V24" s="25">
        <v>131.25785687773777</v>
      </c>
      <c r="W24" s="25">
        <v>129.15351946868873</v>
      </c>
      <c r="X24" s="25">
        <v>126.76692366161332</v>
      </c>
      <c r="Y24" s="25">
        <v>123.945750868633</v>
      </c>
      <c r="Z24" s="25">
        <v>120.52735597284597</v>
      </c>
      <c r="AA24" s="25">
        <v>116.22386947604892</v>
      </c>
      <c r="AB24" s="25">
        <v>110.07266991832616</v>
      </c>
      <c r="AD24" s="1">
        <v>173.15129999999999</v>
      </c>
      <c r="AE24" s="1">
        <v>162.75970000000001</v>
      </c>
      <c r="AF24" s="1">
        <v>156.33070000000001</v>
      </c>
      <c r="AG24" s="1">
        <v>151.61109999999999</v>
      </c>
      <c r="AH24" s="1">
        <v>147.89779999999999</v>
      </c>
      <c r="AI24" s="1">
        <v>144.8126</v>
      </c>
      <c r="AJ24" s="1">
        <v>142.09889999999999</v>
      </c>
      <c r="AK24" s="1">
        <v>139.59129999999999</v>
      </c>
      <c r="AL24" s="1">
        <v>137.1746</v>
      </c>
      <c r="AM24" s="48">
        <v>135.95570000000001</v>
      </c>
      <c r="AN24" s="1">
        <v>135.0384</v>
      </c>
      <c r="AO24" s="1">
        <v>133.1935</v>
      </c>
      <c r="AP24" s="1">
        <v>131.25790000000001</v>
      </c>
      <c r="AQ24" s="1">
        <v>129.15350000000001</v>
      </c>
      <c r="AR24" s="1">
        <v>126.76690000000001</v>
      </c>
      <c r="AS24" s="1">
        <v>123.94580000000001</v>
      </c>
      <c r="AT24" s="1">
        <v>120.5274</v>
      </c>
      <c r="AU24" s="1">
        <v>116.2239</v>
      </c>
      <c r="AV24" s="1">
        <v>110.0727</v>
      </c>
    </row>
    <row r="25" spans="2:48" ht="18" x14ac:dyDescent="0.4">
      <c r="B25" s="65">
        <v>44830</v>
      </c>
      <c r="C25" s="64">
        <v>-6.0408238137865623E-3</v>
      </c>
      <c r="D25" s="64">
        <v>4.374333983518524E-2</v>
      </c>
      <c r="E25" s="64">
        <v>-1.0792343376057076</v>
      </c>
      <c r="F25" s="64">
        <v>-0.79416846354383874</v>
      </c>
      <c r="G25" s="64">
        <v>-0.48624698926439036</v>
      </c>
      <c r="H25" s="64">
        <v>-0.22903031928738987</v>
      </c>
      <c r="I25" s="64">
        <v>-9.1612127714955957E-2</v>
      </c>
      <c r="J25" s="25">
        <v>-1.2368394281871593</v>
      </c>
      <c r="K25" s="25">
        <v>-1.0792343376057414</v>
      </c>
      <c r="L25" s="25">
        <v>-0.9677480679399717</v>
      </c>
      <c r="M25" s="25">
        <v>-0.87545480810011433</v>
      </c>
      <c r="N25" s="25">
        <v>-0.79416846354386617</v>
      </c>
      <c r="O25" s="25">
        <v>-0.71951552430169541</v>
      </c>
      <c r="P25" s="25">
        <v>-0.64866999505581158</v>
      </c>
      <c r="Q25" s="25">
        <v>-0.57993256084639877</v>
      </c>
      <c r="R25" s="25">
        <v>-0.51220594038222811</v>
      </c>
      <c r="S25" s="25">
        <v>-0.48624698926439036</v>
      </c>
      <c r="T25" s="25">
        <v>-0.41225457471730176</v>
      </c>
      <c r="U25" s="25">
        <v>-0.36644851085982383</v>
      </c>
      <c r="V25" s="25">
        <v>-0.32064244700234584</v>
      </c>
      <c r="W25" s="25">
        <v>-0.27483638314486791</v>
      </c>
      <c r="X25" s="25">
        <v>-0.22903031928738987</v>
      </c>
      <c r="Y25" s="25">
        <v>-0.18322425542991191</v>
      </c>
      <c r="Z25" s="25">
        <v>-0.13741819157243396</v>
      </c>
      <c r="AA25" s="25">
        <v>-9.1612127714955957E-2</v>
      </c>
      <c r="AB25" s="25">
        <v>-4.5806063857477979E-2</v>
      </c>
      <c r="AD25" s="1">
        <v>-123.68</v>
      </c>
      <c r="AE25" s="1">
        <v>-107.92</v>
      </c>
      <c r="AF25" s="1">
        <v>-96.77</v>
      </c>
      <c r="AG25" s="1">
        <v>-87.55</v>
      </c>
      <c r="AH25" s="1">
        <v>-79.42</v>
      </c>
      <c r="AI25" s="1">
        <v>-71.95</v>
      </c>
      <c r="AJ25" s="1">
        <v>-64.87</v>
      </c>
      <c r="AK25" s="1">
        <v>-57.99</v>
      </c>
      <c r="AL25" s="1">
        <v>-51.22</v>
      </c>
      <c r="AM25" s="48">
        <v>-48.62</v>
      </c>
      <c r="AN25" s="1">
        <v>-41.23</v>
      </c>
      <c r="AO25" s="1">
        <v>-36.64</v>
      </c>
      <c r="AP25" s="1">
        <v>-32.06</v>
      </c>
      <c r="AQ25" s="1">
        <v>-27.48</v>
      </c>
      <c r="AR25" s="1">
        <v>-22.9</v>
      </c>
      <c r="AS25" s="1">
        <v>-18.32</v>
      </c>
      <c r="AT25" s="1">
        <v>-13.74</v>
      </c>
      <c r="AU25" s="1">
        <v>-9.16</v>
      </c>
      <c r="AV25" s="1">
        <v>-4.58</v>
      </c>
    </row>
    <row r="26" spans="2:48" ht="18" x14ac:dyDescent="0.4">
      <c r="B26" s="65">
        <v>45561</v>
      </c>
      <c r="C26" s="64">
        <v>2.0027397260273974</v>
      </c>
      <c r="D26" s="64">
        <v>130.18119977105806</v>
      </c>
      <c r="E26" s="64">
        <v>13.090000000000002</v>
      </c>
      <c r="F26" s="64">
        <v>11.525</v>
      </c>
      <c r="G26" s="64">
        <v>10.91</v>
      </c>
      <c r="H26" s="64">
        <v>11.415000000000001</v>
      </c>
      <c r="I26" s="64">
        <v>12.67</v>
      </c>
      <c r="J26" s="25">
        <v>0.13955245507101424</v>
      </c>
      <c r="K26" s="25">
        <v>0.13090000000000188</v>
      </c>
      <c r="L26" s="25">
        <v>0.12441255638319877</v>
      </c>
      <c r="M26" s="25">
        <v>0.11913855440368935</v>
      </c>
      <c r="N26" s="25">
        <v>0.11525000000000113</v>
      </c>
      <c r="O26" s="25">
        <v>0.11268519896799495</v>
      </c>
      <c r="P26" s="25">
        <v>0.11104126477248732</v>
      </c>
      <c r="Q26" s="25">
        <v>0.10999200281251126</v>
      </c>
      <c r="R26" s="25">
        <v>0.10930712523164265</v>
      </c>
      <c r="S26" s="25">
        <v>0.1091</v>
      </c>
      <c r="T26" s="25">
        <v>0.10874934471123916</v>
      </c>
      <c r="U26" s="25">
        <v>0.10898607319688196</v>
      </c>
      <c r="V26" s="25">
        <v>0.10982431477015378</v>
      </c>
      <c r="W26" s="25">
        <v>0.11147523513615849</v>
      </c>
      <c r="X26" s="25">
        <v>0.11415000000000002</v>
      </c>
      <c r="Y26" s="25">
        <v>0.11792166326568645</v>
      </c>
      <c r="Z26" s="25">
        <v>0.12231083163284323</v>
      </c>
      <c r="AA26" s="25">
        <v>0.12670000000000001</v>
      </c>
      <c r="AB26" s="25">
        <v>0.13088333333333332</v>
      </c>
      <c r="AD26" s="1">
        <v>13.9552</v>
      </c>
      <c r="AE26" s="1">
        <v>13.09</v>
      </c>
      <c r="AF26" s="1">
        <v>12.4413</v>
      </c>
      <c r="AG26" s="1">
        <v>11.9139</v>
      </c>
      <c r="AH26" s="1">
        <v>11.525</v>
      </c>
      <c r="AI26" s="1">
        <v>11.2685</v>
      </c>
      <c r="AJ26" s="1">
        <v>11.104100000000001</v>
      </c>
      <c r="AK26" s="1">
        <v>10.9992</v>
      </c>
      <c r="AL26" s="1">
        <v>10.9307</v>
      </c>
      <c r="AM26" s="48">
        <v>10.91</v>
      </c>
      <c r="AN26" s="1">
        <v>10.8749</v>
      </c>
      <c r="AO26" s="1">
        <v>10.8986</v>
      </c>
      <c r="AP26" s="1">
        <v>10.9824</v>
      </c>
      <c r="AQ26" s="1">
        <v>11.147500000000001</v>
      </c>
      <c r="AR26" s="1">
        <v>11.414999999999999</v>
      </c>
      <c r="AS26" s="1">
        <v>11.792199999999999</v>
      </c>
      <c r="AT26" s="1">
        <v>12.2311</v>
      </c>
      <c r="AU26" s="1">
        <v>12.67</v>
      </c>
      <c r="AV26" s="1">
        <v>13.0883</v>
      </c>
    </row>
    <row r="27" spans="2:48" ht="18" x14ac:dyDescent="0.4">
      <c r="B27" s="65"/>
      <c r="C27" s="64"/>
      <c r="D27" s="64"/>
      <c r="E27" s="64"/>
      <c r="F27" s="64"/>
      <c r="G27" s="64"/>
      <c r="H27" s="64"/>
      <c r="I27" s="64"/>
      <c r="J27" s="25">
        <v>182.2644372531592</v>
      </c>
      <c r="K27" s="25">
        <v>166.37775085565175</v>
      </c>
      <c r="L27" s="25">
        <v>157.04456734971123</v>
      </c>
      <c r="M27" s="25">
        <v>150.43871821387626</v>
      </c>
      <c r="N27" s="25">
        <v>145.396956140681</v>
      </c>
      <c r="O27" s="25">
        <v>141.29780361481687</v>
      </c>
      <c r="P27" s="25">
        <v>137.73968557172245</v>
      </c>
      <c r="Q27" s="25">
        <v>134.48112867617945</v>
      </c>
      <c r="R27" s="25">
        <v>131.36620881798387</v>
      </c>
      <c r="S27" s="25">
        <v>130.18119977105806</v>
      </c>
      <c r="T27" s="25">
        <v>126.77762930745226</v>
      </c>
      <c r="U27" s="25">
        <v>124.59605926898381</v>
      </c>
      <c r="V27" s="25">
        <v>122.28362889987231</v>
      </c>
      <c r="W27" s="25">
        <v>119.74883283515334</v>
      </c>
      <c r="X27" s="25">
        <v>116.86278252312918</v>
      </c>
      <c r="Y27" s="25">
        <v>113.4564252320547</v>
      </c>
      <c r="Z27" s="25">
        <v>109.35081920154613</v>
      </c>
      <c r="AA27" s="25">
        <v>104.22077646703521</v>
      </c>
      <c r="AB27" s="25">
        <v>96.969033209233189</v>
      </c>
      <c r="AD27" s="1">
        <v>182.26439999999999</v>
      </c>
      <c r="AE27" s="1">
        <v>166.37780000000001</v>
      </c>
      <c r="AF27" s="1">
        <v>157.0446</v>
      </c>
      <c r="AG27" s="1">
        <v>150.43870000000001</v>
      </c>
      <c r="AH27" s="1">
        <v>145.39699999999999</v>
      </c>
      <c r="AI27" s="1">
        <v>141.2978</v>
      </c>
      <c r="AJ27" s="1">
        <v>137.7397</v>
      </c>
      <c r="AK27" s="1">
        <v>134.4811</v>
      </c>
      <c r="AL27" s="1">
        <v>131.36619999999999</v>
      </c>
      <c r="AM27" s="48">
        <v>130.18119999999999</v>
      </c>
      <c r="AN27" s="1">
        <v>126.77760000000001</v>
      </c>
      <c r="AO27" s="1">
        <v>124.59610000000001</v>
      </c>
      <c r="AP27" s="1">
        <v>122.28360000000001</v>
      </c>
      <c r="AQ27" s="1">
        <v>119.7488</v>
      </c>
      <c r="AR27" s="1">
        <v>116.86279999999999</v>
      </c>
      <c r="AS27" s="1">
        <v>113.4564</v>
      </c>
      <c r="AT27" s="1">
        <v>109.35080000000001</v>
      </c>
      <c r="AU27" s="1">
        <v>104.2208</v>
      </c>
      <c r="AV27" s="1">
        <v>96.968999999999994</v>
      </c>
    </row>
    <row r="28" spans="2:48" ht="18" x14ac:dyDescent="0.4">
      <c r="B28" s="65">
        <v>44830</v>
      </c>
      <c r="C28" s="64">
        <v>-6.0358598141361667E-3</v>
      </c>
      <c r="D28" s="64">
        <v>3.8213209343715152E-2</v>
      </c>
      <c r="E28" s="64">
        <v>-1.1118859876706204</v>
      </c>
      <c r="F28" s="64">
        <v>-0.76496954361483871</v>
      </c>
      <c r="G28" s="64">
        <v>-0.44936913029347186</v>
      </c>
      <c r="H28" s="64">
        <v>-0.2065411290797397</v>
      </c>
      <c r="I28" s="64">
        <v>-8.261645163189589E-2</v>
      </c>
      <c r="J28" s="25">
        <v>-1.342564159552478</v>
      </c>
      <c r="K28" s="25">
        <v>-1.1118859876707368</v>
      </c>
      <c r="L28" s="25">
        <v>-0.96832101653436586</v>
      </c>
      <c r="M28" s="25">
        <v>-0.85784576599504669</v>
      </c>
      <c r="N28" s="25">
        <v>-0.76496954361485081</v>
      </c>
      <c r="O28" s="25">
        <v>-0.6820540559088657</v>
      </c>
      <c r="P28" s="25">
        <v>-0.60465399000118702</v>
      </c>
      <c r="Q28" s="25">
        <v>-0.53041912796509605</v>
      </c>
      <c r="R28" s="25">
        <v>-0.4580733402029824</v>
      </c>
      <c r="S28" s="25">
        <v>-0.44936913029347186</v>
      </c>
      <c r="T28" s="25">
        <v>-0.37177403234353146</v>
      </c>
      <c r="U28" s="25">
        <v>-0.33046580652758356</v>
      </c>
      <c r="V28" s="25">
        <v>-0.28915758071163561</v>
      </c>
      <c r="W28" s="25">
        <v>-0.24784935489568768</v>
      </c>
      <c r="X28" s="25">
        <v>-0.2065411290797397</v>
      </c>
      <c r="Y28" s="25">
        <v>-0.16523290326379178</v>
      </c>
      <c r="Z28" s="25">
        <v>-0.12392467744784384</v>
      </c>
      <c r="AA28" s="25">
        <v>-8.261645163189589E-2</v>
      </c>
      <c r="AB28" s="25">
        <v>-4.1308225815947945E-2</v>
      </c>
      <c r="AD28" s="1">
        <v>-134.26</v>
      </c>
      <c r="AE28" s="1">
        <v>-111.19</v>
      </c>
      <c r="AF28" s="1">
        <v>-96.83</v>
      </c>
      <c r="AG28" s="1">
        <v>-85.78</v>
      </c>
      <c r="AH28" s="1">
        <v>-76.5</v>
      </c>
      <c r="AI28" s="1">
        <v>-68.209999999999994</v>
      </c>
      <c r="AJ28" s="1">
        <v>-60.47</v>
      </c>
      <c r="AK28" s="1">
        <v>-53.04</v>
      </c>
      <c r="AL28" s="1">
        <v>-45.81</v>
      </c>
      <c r="AM28" s="48">
        <v>-44.94</v>
      </c>
      <c r="AN28" s="1">
        <v>-37.18</v>
      </c>
      <c r="AO28" s="1">
        <v>-33.049999999999997</v>
      </c>
      <c r="AP28" s="1">
        <v>-28.92</v>
      </c>
      <c r="AQ28" s="1">
        <v>-24.78</v>
      </c>
      <c r="AR28" s="1">
        <v>-20.65</v>
      </c>
      <c r="AS28" s="1">
        <v>-16.52</v>
      </c>
      <c r="AT28" s="1">
        <v>-12.39</v>
      </c>
      <c r="AU28" s="1">
        <v>-8.26</v>
      </c>
      <c r="AV28" s="1">
        <v>-4.13</v>
      </c>
    </row>
    <row r="29" spans="2:48" ht="18" x14ac:dyDescent="0.4">
      <c r="B29" s="65">
        <v>46654</v>
      </c>
      <c r="C29" s="64">
        <v>4.9972602739726026</v>
      </c>
      <c r="D29" s="64">
        <v>115.29659914728823</v>
      </c>
      <c r="E29" s="64">
        <v>12.262499999999999</v>
      </c>
      <c r="F29" s="64">
        <v>10.693799999999998</v>
      </c>
      <c r="G29" s="64">
        <v>9.8699999999999992</v>
      </c>
      <c r="H29" s="64">
        <v>10.271299999999998</v>
      </c>
      <c r="I29" s="64">
        <v>12.2575</v>
      </c>
      <c r="J29" s="25">
        <v>0.13305589350278491</v>
      </c>
      <c r="K29" s="25">
        <v>0.12262500000000526</v>
      </c>
      <c r="L29" s="25">
        <v>0.11575552819358524</v>
      </c>
      <c r="M29" s="25">
        <v>0.11059757054908781</v>
      </c>
      <c r="N29" s="25">
        <v>0.10693800000000041</v>
      </c>
      <c r="O29" s="25">
        <v>0.1044522085831148</v>
      </c>
      <c r="P29" s="25">
        <v>0.10256027355232536</v>
      </c>
      <c r="Q29" s="25">
        <v>0.10083059109557156</v>
      </c>
      <c r="R29" s="25">
        <v>9.8951547135017179E-2</v>
      </c>
      <c r="S29" s="25">
        <v>9.8699999999999996E-2</v>
      </c>
      <c r="T29" s="25">
        <v>9.6599664904141638E-2</v>
      </c>
      <c r="U29" s="25">
        <v>9.6188016641309562E-2</v>
      </c>
      <c r="V29" s="25">
        <v>9.6796676552595273E-2</v>
      </c>
      <c r="W29" s="25">
        <v>9.8835164413618753E-2</v>
      </c>
      <c r="X29" s="25">
        <v>0.10271299999999998</v>
      </c>
      <c r="Y29" s="25">
        <v>0.10858404416634075</v>
      </c>
      <c r="Z29" s="25">
        <v>0.11557952208317039</v>
      </c>
      <c r="AA29" s="25">
        <v>0.122575</v>
      </c>
      <c r="AB29" s="25">
        <v>0.12919566666666668</v>
      </c>
      <c r="AD29" s="1">
        <v>13.3056</v>
      </c>
      <c r="AE29" s="1">
        <v>12.262499999999999</v>
      </c>
      <c r="AF29" s="1">
        <v>11.5755</v>
      </c>
      <c r="AG29" s="1">
        <v>11.059699999999999</v>
      </c>
      <c r="AH29" s="1">
        <v>10.6937</v>
      </c>
      <c r="AI29" s="1">
        <v>10.4452</v>
      </c>
      <c r="AJ29" s="1">
        <v>10.256</v>
      </c>
      <c r="AK29" s="1">
        <v>10.0831</v>
      </c>
      <c r="AL29" s="1">
        <v>9.8952000000000009</v>
      </c>
      <c r="AM29" s="48">
        <v>9.8699999999999992</v>
      </c>
      <c r="AN29" s="1">
        <v>9.6599000000000004</v>
      </c>
      <c r="AO29" s="1">
        <v>9.6188000000000002</v>
      </c>
      <c r="AP29" s="1">
        <v>9.6796000000000006</v>
      </c>
      <c r="AQ29" s="1">
        <v>9.8834999999999997</v>
      </c>
      <c r="AR29" s="1">
        <v>10.2713</v>
      </c>
      <c r="AS29" s="1">
        <v>10.8584</v>
      </c>
      <c r="AT29" s="1">
        <v>11.5579</v>
      </c>
      <c r="AU29" s="1">
        <v>12.2575</v>
      </c>
      <c r="AV29" s="1">
        <v>12.919600000000001</v>
      </c>
    </row>
    <row r="30" spans="2:48" ht="18" x14ac:dyDescent="0.4">
      <c r="B30" s="65"/>
      <c r="C30" s="64"/>
      <c r="D30" s="64"/>
      <c r="E30" s="64"/>
      <c r="F30" s="64"/>
      <c r="G30" s="64"/>
      <c r="H30" s="64"/>
      <c r="I30" s="64"/>
      <c r="J30" s="25">
        <v>193.12833767993129</v>
      </c>
      <c r="K30" s="25">
        <v>166.70053748902842</v>
      </c>
      <c r="L30" s="25">
        <v>152.42994762171509</v>
      </c>
      <c r="M30" s="25">
        <v>142.77724217840569</v>
      </c>
      <c r="N30" s="25">
        <v>135.58059488690984</v>
      </c>
      <c r="O30" s="25">
        <v>129.77403251223163</v>
      </c>
      <c r="P30" s="25">
        <v>124.73718290498253</v>
      </c>
      <c r="Q30" s="25">
        <v>120.14205796006569</v>
      </c>
      <c r="R30" s="25">
        <v>115.81056554235617</v>
      </c>
      <c r="S30" s="25">
        <v>115.29659914728823</v>
      </c>
      <c r="T30" s="25">
        <v>110.73533349195446</v>
      </c>
      <c r="U30" s="25">
        <v>108.23696621341323</v>
      </c>
      <c r="V30" s="25">
        <v>105.56106328981851</v>
      </c>
      <c r="W30" s="25">
        <v>102.54849523054459</v>
      </c>
      <c r="X30" s="25">
        <v>98.978254536526975</v>
      </c>
      <c r="Y30" s="25">
        <v>94.589382017103503</v>
      </c>
      <c r="Z30" s="25">
        <v>89.207512518370876</v>
      </c>
      <c r="AA30" s="25">
        <v>82.559535839834524</v>
      </c>
      <c r="AB30" s="25">
        <v>73.477685624547561</v>
      </c>
      <c r="AD30" s="1">
        <v>193.12870000000001</v>
      </c>
      <c r="AE30" s="1">
        <v>166.70050000000001</v>
      </c>
      <c r="AF30" s="1">
        <v>152.4298</v>
      </c>
      <c r="AG30" s="1">
        <v>142.77709999999999</v>
      </c>
      <c r="AH30" s="1">
        <v>135.5805</v>
      </c>
      <c r="AI30" s="1">
        <v>129.774</v>
      </c>
      <c r="AJ30" s="1">
        <v>124.7372</v>
      </c>
      <c r="AK30" s="1">
        <v>120.1421</v>
      </c>
      <c r="AL30" s="1">
        <v>115.81059999999999</v>
      </c>
      <c r="AM30" s="48">
        <v>115.2966</v>
      </c>
      <c r="AN30" s="1">
        <v>110.7353</v>
      </c>
      <c r="AO30" s="1">
        <v>108.23699999999999</v>
      </c>
      <c r="AP30" s="1">
        <v>105.5611</v>
      </c>
      <c r="AQ30" s="1">
        <v>102.54859999999999</v>
      </c>
      <c r="AR30" s="1">
        <v>98.978300000000004</v>
      </c>
      <c r="AS30" s="1">
        <v>94.589399999999998</v>
      </c>
      <c r="AT30" s="1">
        <v>89.207599999999999</v>
      </c>
      <c r="AU30" s="1">
        <v>82.5595</v>
      </c>
      <c r="AV30" s="1">
        <v>73.477599999999995</v>
      </c>
    </row>
    <row r="31" spans="2:48" ht="18" x14ac:dyDescent="0.4">
      <c r="B31" s="65">
        <v>44830</v>
      </c>
      <c r="C31" s="64">
        <v>-5.3057157602994509E-3</v>
      </c>
      <c r="D31" s="64">
        <v>3.6240075401916878E-2</v>
      </c>
      <c r="E31" s="64">
        <v>-1.0915250174186786</v>
      </c>
      <c r="F31" s="64">
        <v>-0.73559420680726328</v>
      </c>
      <c r="G31" s="64">
        <v>-0.42767587049420563</v>
      </c>
      <c r="H31" s="64">
        <v>-0.19394639652145701</v>
      </c>
      <c r="I31" s="64">
        <v>-7.7578558608582815E-2</v>
      </c>
      <c r="J31" s="25">
        <v>-1.3372575753866747</v>
      </c>
      <c r="K31" s="25">
        <v>-1.0915250174188129</v>
      </c>
      <c r="L31" s="25">
        <v>-0.94134168266519425</v>
      </c>
      <c r="M31" s="25">
        <v>-0.82847694373041836</v>
      </c>
      <c r="N31" s="25">
        <v>-0.73559420680727072</v>
      </c>
      <c r="O31" s="25">
        <v>-0.65321319223816099</v>
      </c>
      <c r="P31" s="25">
        <v>-0.5756107450129776</v>
      </c>
      <c r="Q31" s="25">
        <v>-0.50011851495317161</v>
      </c>
      <c r="R31" s="25">
        <v>-0.42578526472223377</v>
      </c>
      <c r="S31" s="25">
        <v>-0.42767587049420563</v>
      </c>
      <c r="T31" s="25">
        <v>-0.34910351373862264</v>
      </c>
      <c r="U31" s="25">
        <v>-0.31031423443433126</v>
      </c>
      <c r="V31" s="25">
        <v>-0.27152495513003982</v>
      </c>
      <c r="W31" s="25">
        <v>-0.23273567582574844</v>
      </c>
      <c r="X31" s="25">
        <v>-0.19394639652145701</v>
      </c>
      <c r="Y31" s="25">
        <v>-0.15515711721716563</v>
      </c>
      <c r="Z31" s="25">
        <v>-0.11636783791287422</v>
      </c>
      <c r="AA31" s="25">
        <v>-7.7578558608582815E-2</v>
      </c>
      <c r="AB31" s="25">
        <v>-3.8789279304291407E-2</v>
      </c>
      <c r="AD31" s="1">
        <v>-133.72999999999999</v>
      </c>
      <c r="AE31" s="1">
        <v>-109.15</v>
      </c>
      <c r="AF31" s="1">
        <v>-94.13</v>
      </c>
      <c r="AG31" s="1">
        <v>-82.85</v>
      </c>
      <c r="AH31" s="1">
        <v>-73.56</v>
      </c>
      <c r="AI31" s="1">
        <v>-65.319999999999993</v>
      </c>
      <c r="AJ31" s="1">
        <v>-57.56</v>
      </c>
      <c r="AK31" s="1">
        <v>-50.01</v>
      </c>
      <c r="AL31" s="1">
        <v>-42.58</v>
      </c>
      <c r="AM31" s="48">
        <v>-42.77</v>
      </c>
      <c r="AN31" s="1">
        <v>-34.909999999999997</v>
      </c>
      <c r="AO31" s="1">
        <v>-31.03</v>
      </c>
      <c r="AP31" s="1">
        <v>-27.15</v>
      </c>
      <c r="AQ31" s="1">
        <v>-23.27</v>
      </c>
      <c r="AR31" s="1">
        <v>-19.39</v>
      </c>
      <c r="AS31" s="1">
        <v>-15.52</v>
      </c>
      <c r="AT31" s="1">
        <v>-11.64</v>
      </c>
      <c r="AU31" s="1">
        <v>-7.76</v>
      </c>
      <c r="AV31" s="1">
        <v>-3.88</v>
      </c>
    </row>
    <row r="32" spans="2:48" ht="16.5" customHeight="1" x14ac:dyDescent="0.4">
      <c r="B32" s="65">
        <v>47387</v>
      </c>
      <c r="C32" s="64">
        <v>7.0054794520547947</v>
      </c>
      <c r="D32" s="64">
        <v>107.5099993347706</v>
      </c>
      <c r="E32" s="64">
        <v>11.4625</v>
      </c>
      <c r="F32" s="64">
        <v>10.080000000000002</v>
      </c>
      <c r="G32" s="64">
        <v>9.74</v>
      </c>
      <c r="H32" s="64">
        <v>10.7</v>
      </c>
      <c r="I32" s="64">
        <v>13.797500000000001</v>
      </c>
      <c r="J32" s="25">
        <v>0.12416969945457032</v>
      </c>
      <c r="K32" s="25">
        <v>0.11462500000000522</v>
      </c>
      <c r="L32" s="25">
        <v>0.1081054802458609</v>
      </c>
      <c r="M32" s="25">
        <v>0.10345749932795194</v>
      </c>
      <c r="N32" s="25">
        <v>0.10080000000000017</v>
      </c>
      <c r="O32" s="25">
        <v>9.9719903034434093E-2</v>
      </c>
      <c r="P32" s="25">
        <v>9.9268457901385776E-2</v>
      </c>
      <c r="Q32" s="25">
        <v>9.8686266948950566E-2</v>
      </c>
      <c r="R32" s="25">
        <v>9.7351720081916837E-2</v>
      </c>
      <c r="S32" s="25">
        <v>9.74E-2</v>
      </c>
      <c r="T32" s="25">
        <v>9.5500069507131066E-2</v>
      </c>
      <c r="U32" s="25">
        <v>9.5556112289649053E-2</v>
      </c>
      <c r="V32" s="25">
        <v>9.7085766343358984E-2</v>
      </c>
      <c r="W32" s="25">
        <v>0.10069755460217218</v>
      </c>
      <c r="X32" s="25">
        <v>0.107</v>
      </c>
      <c r="Y32" s="25">
        <v>0.11622527330902468</v>
      </c>
      <c r="Z32" s="25">
        <v>0.12710013665451236</v>
      </c>
      <c r="AA32" s="25">
        <v>0.13797500000000004</v>
      </c>
      <c r="AB32" s="25">
        <v>0.14830000000000002</v>
      </c>
      <c r="AD32" s="1">
        <v>12.417</v>
      </c>
      <c r="AE32" s="1">
        <v>11.4625</v>
      </c>
      <c r="AF32" s="1">
        <v>10.810499999999999</v>
      </c>
      <c r="AG32" s="1">
        <v>10.345800000000001</v>
      </c>
      <c r="AH32" s="1">
        <v>10.08</v>
      </c>
      <c r="AI32" s="1">
        <v>9.9719999999999995</v>
      </c>
      <c r="AJ32" s="1">
        <v>9.9268000000000001</v>
      </c>
      <c r="AK32" s="1">
        <v>9.8686000000000007</v>
      </c>
      <c r="AL32" s="1">
        <v>9.7352000000000007</v>
      </c>
      <c r="AM32" s="48">
        <v>9.74</v>
      </c>
      <c r="AN32" s="1">
        <v>9.5500000000000007</v>
      </c>
      <c r="AO32" s="1">
        <v>9.5556000000000001</v>
      </c>
      <c r="AP32" s="1">
        <v>9.7086000000000006</v>
      </c>
      <c r="AQ32" s="1">
        <v>10.069800000000001</v>
      </c>
      <c r="AR32" s="1">
        <v>10.7</v>
      </c>
      <c r="AS32" s="1">
        <v>11.6225</v>
      </c>
      <c r="AT32" s="1">
        <v>12.71</v>
      </c>
      <c r="AU32" s="1">
        <v>13.797499999999999</v>
      </c>
      <c r="AV32" s="1">
        <v>14.83</v>
      </c>
    </row>
    <row r="33" spans="1:48" ht="16.5" customHeight="1" x14ac:dyDescent="0.4">
      <c r="B33" s="65"/>
      <c r="C33" s="64"/>
      <c r="D33" s="64"/>
      <c r="E33" s="64"/>
      <c r="F33" s="64"/>
      <c r="G33" s="64"/>
      <c r="H33" s="64"/>
      <c r="I33" s="64"/>
      <c r="J33" s="25">
        <v>190.69546932272073</v>
      </c>
      <c r="K33" s="25">
        <v>162.01683420691663</v>
      </c>
      <c r="L33" s="25">
        <v>146.57961154894161</v>
      </c>
      <c r="M33" s="25">
        <v>136.31407844490795</v>
      </c>
      <c r="N33" s="25">
        <v>128.81769323625667</v>
      </c>
      <c r="O33" s="25">
        <v>122.77665881466118</v>
      </c>
      <c r="P33" s="25">
        <v>117.39784831315518</v>
      </c>
      <c r="Q33" s="25">
        <v>112.31147614785314</v>
      </c>
      <c r="R33" s="25">
        <v>107.38571784656898</v>
      </c>
      <c r="S33" s="25">
        <v>107.5099993347706</v>
      </c>
      <c r="T33" s="25">
        <v>102.34374949753737</v>
      </c>
      <c r="U33" s="25">
        <v>99.67546223105164</v>
      </c>
      <c r="V33" s="25">
        <v>96.745582000059144</v>
      </c>
      <c r="W33" s="25">
        <v>93.332930505977075</v>
      </c>
      <c r="X33" s="25">
        <v>89.139720952260276</v>
      </c>
      <c r="Y33" s="25">
        <v>83.845701018147821</v>
      </c>
      <c r="Z33" s="25">
        <v>77.325351920201541</v>
      </c>
      <c r="AA33" s="25">
        <v>69.407466742369721</v>
      </c>
      <c r="AB33" s="25">
        <v>58.971489345430328</v>
      </c>
      <c r="AD33" s="1">
        <v>190.69550000000001</v>
      </c>
      <c r="AE33" s="1">
        <v>162.01679999999999</v>
      </c>
      <c r="AF33" s="1">
        <v>146.5796</v>
      </c>
      <c r="AG33" s="1">
        <v>136.3141</v>
      </c>
      <c r="AH33" s="1">
        <v>128.8177</v>
      </c>
      <c r="AI33" s="1">
        <v>122.77670000000001</v>
      </c>
      <c r="AJ33" s="1">
        <v>117.3978</v>
      </c>
      <c r="AK33" s="1">
        <v>112.3115</v>
      </c>
      <c r="AL33" s="1">
        <v>107.3857</v>
      </c>
      <c r="AM33" s="48">
        <v>107.51</v>
      </c>
      <c r="AN33" s="1">
        <v>102.3438</v>
      </c>
      <c r="AO33" s="1">
        <v>99.6755</v>
      </c>
      <c r="AP33" s="1">
        <v>96.745599999999996</v>
      </c>
      <c r="AQ33" s="1">
        <v>93.332899999999995</v>
      </c>
      <c r="AR33" s="1">
        <v>89.139700000000005</v>
      </c>
      <c r="AS33" s="1">
        <v>83.845699999999994</v>
      </c>
      <c r="AT33" s="1">
        <v>77.325400000000002</v>
      </c>
      <c r="AU33" s="1">
        <v>69.407499999999999</v>
      </c>
      <c r="AV33" s="1">
        <v>58.971499999999999</v>
      </c>
    </row>
    <row r="34" spans="1:48" ht="18" x14ac:dyDescent="0.4">
      <c r="B34" s="65">
        <v>44830</v>
      </c>
      <c r="C34" s="64">
        <v>-3.5406024045582544E-3</v>
      </c>
      <c r="D34" s="64">
        <v>3.4743963583141704E-2</v>
      </c>
      <c r="E34" s="64">
        <v>-1.0263718733647247</v>
      </c>
      <c r="F34" s="64">
        <v>-0.68497818780612907</v>
      </c>
      <c r="G34" s="64">
        <v>-0.39669252217280848</v>
      </c>
      <c r="H34" s="64">
        <v>-0.17660685308177529</v>
      </c>
      <c r="I34" s="64">
        <v>-7.0642741232710124E-2</v>
      </c>
      <c r="J34" s="25">
        <v>-1.257659423717822</v>
      </c>
      <c r="K34" s="25">
        <v>-1.0263718733647809</v>
      </c>
      <c r="L34" s="25">
        <v>-0.88068037019931189</v>
      </c>
      <c r="M34" s="25">
        <v>-0.7724231853983976</v>
      </c>
      <c r="N34" s="25">
        <v>-0.68497818780612907</v>
      </c>
      <c r="O34" s="25">
        <v>-0.60725990897047655</v>
      </c>
      <c r="P34" s="25">
        <v>-0.53205217964160001</v>
      </c>
      <c r="Q34" s="25">
        <v>-0.45606150931803718</v>
      </c>
      <c r="R34" s="25">
        <v>-0.37880949190619512</v>
      </c>
      <c r="S34" s="25">
        <v>-0.39669252217280848</v>
      </c>
      <c r="T34" s="25">
        <v>-0.31789233554719554</v>
      </c>
      <c r="U34" s="25">
        <v>-0.2825709649308405</v>
      </c>
      <c r="V34" s="25">
        <v>-0.24724959431448543</v>
      </c>
      <c r="W34" s="25">
        <v>-0.21192822369813039</v>
      </c>
      <c r="X34" s="25">
        <v>-0.17660685308177529</v>
      </c>
      <c r="Y34" s="25">
        <v>-0.14128548246542025</v>
      </c>
      <c r="Z34" s="25">
        <v>-0.10596411184906519</v>
      </c>
      <c r="AA34" s="25">
        <v>-7.0642741232710124E-2</v>
      </c>
      <c r="AB34" s="25">
        <v>-3.5321370616355062E-2</v>
      </c>
      <c r="AD34" s="1">
        <v>-125.77</v>
      </c>
      <c r="AE34" s="1">
        <v>-102.64</v>
      </c>
      <c r="AF34" s="1">
        <v>-88.07</v>
      </c>
      <c r="AG34" s="1">
        <v>-77.239999999999995</v>
      </c>
      <c r="AH34" s="1">
        <v>-68.5</v>
      </c>
      <c r="AI34" s="1">
        <v>-60.73</v>
      </c>
      <c r="AJ34" s="1">
        <v>-53.21</v>
      </c>
      <c r="AK34" s="1">
        <v>-45.61</v>
      </c>
      <c r="AL34" s="1">
        <v>-37.880000000000003</v>
      </c>
      <c r="AM34" s="48">
        <v>-39.67</v>
      </c>
      <c r="AN34" s="1">
        <v>-31.79</v>
      </c>
      <c r="AO34" s="1">
        <v>-28.26</v>
      </c>
      <c r="AP34" s="1">
        <v>-24.72</v>
      </c>
      <c r="AQ34" s="1">
        <v>-21.19</v>
      </c>
      <c r="AR34" s="1">
        <v>-17.66</v>
      </c>
      <c r="AS34" s="1">
        <v>-14.13</v>
      </c>
      <c r="AT34" s="1">
        <v>-10.6</v>
      </c>
      <c r="AU34" s="1">
        <v>-7.06</v>
      </c>
      <c r="AV34" s="1">
        <v>-3.53</v>
      </c>
    </row>
    <row r="35" spans="1:48" ht="18" x14ac:dyDescent="0.4">
      <c r="B35" s="65">
        <v>48481</v>
      </c>
      <c r="C35" s="64">
        <v>10.002739726027396</v>
      </c>
      <c r="D35" s="64">
        <v>98.069998834211049</v>
      </c>
      <c r="E35" s="64">
        <v>10.2575</v>
      </c>
      <c r="F35" s="64">
        <v>9.2674999999999983</v>
      </c>
      <c r="G35" s="64">
        <v>9.7949999999999999</v>
      </c>
      <c r="H35" s="64">
        <v>11.6325</v>
      </c>
      <c r="I35" s="64">
        <v>15.872499999999999</v>
      </c>
      <c r="J35" s="25">
        <v>0.10928205653137414</v>
      </c>
      <c r="K35" s="25">
        <v>0.10257500000000164</v>
      </c>
      <c r="L35" s="25">
        <v>9.7199286837002172E-2</v>
      </c>
      <c r="M35" s="25">
        <v>9.3648453673651155E-2</v>
      </c>
      <c r="N35" s="25">
        <v>9.267499999999998E-2</v>
      </c>
      <c r="O35" s="25">
        <v>9.3850057380677171E-2</v>
      </c>
      <c r="P35" s="25">
        <v>9.5901160929040496E-2</v>
      </c>
      <c r="Q35" s="25">
        <v>9.7635814516444541E-2</v>
      </c>
      <c r="R35" s="25">
        <v>9.7784072562222116E-2</v>
      </c>
      <c r="S35" s="25">
        <v>9.7949999999999995E-2</v>
      </c>
      <c r="T35" s="25">
        <v>9.7480482712153746E-2</v>
      </c>
      <c r="U35" s="25">
        <v>9.8599786045411017E-2</v>
      </c>
      <c r="V35" s="25">
        <v>0.10160925075802719</v>
      </c>
      <c r="W35" s="25">
        <v>0.10726546076966821</v>
      </c>
      <c r="X35" s="25">
        <v>0.116325</v>
      </c>
      <c r="Y35" s="25">
        <v>0.12907169562054777</v>
      </c>
      <c r="Z35" s="25">
        <v>0.14389834781027389</v>
      </c>
      <c r="AA35" s="25">
        <v>0.15872499999999998</v>
      </c>
      <c r="AB35" s="25">
        <v>0.17285833333333334</v>
      </c>
      <c r="AD35" s="1">
        <v>10.9282</v>
      </c>
      <c r="AE35" s="1">
        <v>10.2575</v>
      </c>
      <c r="AF35" s="1">
        <v>9.7199000000000009</v>
      </c>
      <c r="AG35" s="1">
        <v>9.3648000000000007</v>
      </c>
      <c r="AH35" s="1">
        <v>9.2675000000000001</v>
      </c>
      <c r="AI35" s="1">
        <v>9.3849999999999998</v>
      </c>
      <c r="AJ35" s="1">
        <v>9.5900999999999996</v>
      </c>
      <c r="AK35" s="1">
        <v>9.7636000000000003</v>
      </c>
      <c r="AL35" s="1">
        <v>9.7783999999999995</v>
      </c>
      <c r="AM35" s="48">
        <v>9.7949999999999999</v>
      </c>
      <c r="AN35" s="1">
        <v>9.7479999999999993</v>
      </c>
      <c r="AO35" s="1">
        <v>9.86</v>
      </c>
      <c r="AP35" s="1">
        <v>10.1609</v>
      </c>
      <c r="AQ35" s="1">
        <v>10.7265</v>
      </c>
      <c r="AR35" s="1">
        <v>11.6325</v>
      </c>
      <c r="AS35" s="1">
        <v>12.9072</v>
      </c>
      <c r="AT35" s="1">
        <v>14.389799999999999</v>
      </c>
      <c r="AU35" s="1">
        <v>15.8725</v>
      </c>
      <c r="AV35" s="1">
        <v>17.285799999999998</v>
      </c>
    </row>
    <row r="36" spans="1:48" ht="18" x14ac:dyDescent="0.4">
      <c r="B36" s="65"/>
      <c r="C36" s="64"/>
      <c r="D36" s="64"/>
      <c r="E36" s="64"/>
      <c r="F36" s="64"/>
      <c r="G36" s="64"/>
      <c r="H36" s="64"/>
      <c r="I36" s="64"/>
      <c r="J36" s="25">
        <v>179.49844921122042</v>
      </c>
      <c r="K36" s="25">
        <v>152.29338513391818</v>
      </c>
      <c r="L36" s="25">
        <v>136.97121815462856</v>
      </c>
      <c r="M36" s="25">
        <v>126.8458817262342</v>
      </c>
      <c r="N36" s="25">
        <v>119.60980347167779</v>
      </c>
      <c r="O36" s="25">
        <v>113.72403988565856</v>
      </c>
      <c r="P36" s="25">
        <v>108.18680409302107</v>
      </c>
      <c r="Q36" s="25">
        <v>102.54087628037377</v>
      </c>
      <c r="R36" s="25">
        <v>96.71984157731066</v>
      </c>
      <c r="S36" s="25">
        <v>98.069998834211049</v>
      </c>
      <c r="T36" s="25">
        <v>92.044664883860108</v>
      </c>
      <c r="U36" s="25">
        <v>89.128662626096116</v>
      </c>
      <c r="V36" s="25">
        <v>85.842113751653784</v>
      </c>
      <c r="W36" s="25">
        <v>81.920542127318484</v>
      </c>
      <c r="X36" s="25">
        <v>77.028650749760104</v>
      </c>
      <c r="Y36" s="25">
        <v>70.85138214614966</v>
      </c>
      <c r="Z36" s="25">
        <v>63.373168478377089</v>
      </c>
      <c r="AA36" s="25">
        <v>54.575397936712527</v>
      </c>
      <c r="AB36" s="25">
        <v>43.5258877206915</v>
      </c>
      <c r="AD36" s="1">
        <v>179.4984</v>
      </c>
      <c r="AE36" s="1">
        <v>152.29339999999999</v>
      </c>
      <c r="AF36" s="1">
        <v>136.97120000000001</v>
      </c>
      <c r="AG36" s="1">
        <v>126.8459</v>
      </c>
      <c r="AH36" s="1">
        <v>119.60980000000001</v>
      </c>
      <c r="AI36" s="1">
        <v>113.724</v>
      </c>
      <c r="AJ36" s="1">
        <v>108.18680000000001</v>
      </c>
      <c r="AK36" s="1">
        <v>102.54089999999999</v>
      </c>
      <c r="AL36" s="1">
        <v>96.719800000000006</v>
      </c>
      <c r="AM36" s="49">
        <v>98.07</v>
      </c>
      <c r="AN36" s="1">
        <v>92.044700000000006</v>
      </c>
      <c r="AO36" s="1">
        <v>89.128699999999995</v>
      </c>
      <c r="AP36" s="1">
        <v>85.842100000000002</v>
      </c>
      <c r="AQ36" s="1">
        <v>81.920500000000004</v>
      </c>
      <c r="AR36" s="1">
        <v>77.028700000000001</v>
      </c>
      <c r="AS36" s="1">
        <v>70.851399999999998</v>
      </c>
      <c r="AT36" s="1">
        <v>63.373199999999997</v>
      </c>
      <c r="AU36" s="1">
        <v>54.575400000000002</v>
      </c>
      <c r="AV36" s="1">
        <v>43.5259</v>
      </c>
    </row>
    <row r="37" spans="1:48" ht="18" x14ac:dyDescent="0.4">
      <c r="B37" s="1"/>
      <c r="C37" s="25"/>
      <c r="D37" s="25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48" ht="18" x14ac:dyDescent="0.4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48" ht="18" x14ac:dyDescent="0.4">
      <c r="B39" s="1"/>
      <c r="C39" s="1"/>
      <c r="D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48" ht="18" x14ac:dyDescent="0.4">
      <c r="A40" s="1"/>
      <c r="B40" s="1"/>
      <c r="C40" s="1"/>
      <c r="D40" s="1"/>
      <c r="E40" s="1"/>
      <c r="F40" s="1"/>
      <c r="G40" s="1"/>
      <c r="H40" s="1"/>
      <c r="I40" s="1" t="s">
        <v>132</v>
      </c>
      <c r="J40" s="53">
        <f>IF(ABS(J4*100-AD4)&lt;0.01,0,ABS(J4*100-AD4))</f>
        <v>0</v>
      </c>
      <c r="K40" s="53">
        <f t="shared" ref="K40:AB40" si="0">IF(ABS(K4*100-AE4)&lt;0.01,0,ABS(K4*100-AE4))</f>
        <v>0</v>
      </c>
      <c r="L40" s="53">
        <f t="shared" si="0"/>
        <v>0</v>
      </c>
      <c r="M40" s="53">
        <f t="shared" si="0"/>
        <v>0</v>
      </c>
      <c r="N40" s="53">
        <f t="shared" si="0"/>
        <v>0</v>
      </c>
      <c r="O40" s="53">
        <f t="shared" si="0"/>
        <v>0</v>
      </c>
      <c r="P40" s="53">
        <f t="shared" si="0"/>
        <v>0</v>
      </c>
      <c r="Q40" s="53">
        <f t="shared" si="0"/>
        <v>0</v>
      </c>
      <c r="R40" s="53">
        <f t="shared" si="0"/>
        <v>0</v>
      </c>
      <c r="S40" s="53">
        <f t="shared" si="0"/>
        <v>0</v>
      </c>
      <c r="T40" s="53">
        <f t="shared" si="0"/>
        <v>0</v>
      </c>
      <c r="U40" s="53">
        <f t="shared" si="0"/>
        <v>0</v>
      </c>
      <c r="V40" s="53">
        <f t="shared" si="0"/>
        <v>0</v>
      </c>
      <c r="W40" s="53">
        <f t="shared" si="0"/>
        <v>0</v>
      </c>
      <c r="X40" s="53">
        <f t="shared" si="0"/>
        <v>0</v>
      </c>
      <c r="Y40" s="53">
        <f t="shared" si="0"/>
        <v>0</v>
      </c>
      <c r="Z40" s="53">
        <f t="shared" si="0"/>
        <v>0</v>
      </c>
      <c r="AA40" s="53">
        <f t="shared" si="0"/>
        <v>0</v>
      </c>
      <c r="AB40" s="53">
        <f t="shared" si="0"/>
        <v>0</v>
      </c>
      <c r="AD40" s="63" t="s">
        <v>158</v>
      </c>
      <c r="AE40">
        <f>C5</f>
        <v>1.9178082191780823E-2</v>
      </c>
    </row>
    <row r="41" spans="1:48" ht="18" x14ac:dyDescent="0.4">
      <c r="A41" s="1"/>
      <c r="B41" s="1"/>
      <c r="C41" s="1"/>
      <c r="D41" s="1"/>
      <c r="E41" s="1"/>
      <c r="F41" s="1"/>
      <c r="G41" s="1"/>
      <c r="H41" s="1"/>
      <c r="I41" s="1" t="s">
        <v>133</v>
      </c>
      <c r="J41" s="53">
        <f t="shared" ref="J41" si="1">ABS(J5*100-AD5)</f>
        <v>1.5986588705274585E-5</v>
      </c>
      <c r="K41" s="53">
        <f t="shared" ref="K41" si="2">ABS(K5*100-AE5)</f>
        <v>3.5527136788005009E-15</v>
      </c>
      <c r="L41" s="53">
        <f t="shared" ref="L41" si="3">ABS(L5*100-AF5)</f>
        <v>2.5291337287569604E-5</v>
      </c>
      <c r="M41" s="53">
        <f t="shared" ref="M41" si="4">ABS(M5*100-AG5)</f>
        <v>3.9119244929608499E-5</v>
      </c>
      <c r="N41" s="53">
        <f t="shared" ref="N41" si="5">ABS(N5*100-AH5)</f>
        <v>0</v>
      </c>
      <c r="O41" s="53">
        <f t="shared" ref="O41" si="6">ABS(O5*100-AI5)</f>
        <v>3.7392089970111897E-5</v>
      </c>
      <c r="P41" s="53">
        <f t="shared" ref="P41" si="7">ABS(P5*100-AJ5)</f>
        <v>2.4903066657699924E-5</v>
      </c>
      <c r="Q41" s="53">
        <f t="shared" ref="Q41" si="8">ABS(Q5*100-AK5)</f>
        <v>4.3519932813040896E-6</v>
      </c>
      <c r="R41" s="53">
        <f t="shared" ref="R41" si="9">ABS(R5*100-AL5)</f>
        <v>2.5640402974147491E-6</v>
      </c>
      <c r="S41" s="53">
        <f t="shared" ref="S41" si="10">ABS(S5*100-AM5)</f>
        <v>0</v>
      </c>
      <c r="T41" s="53">
        <f t="shared" ref="T41" si="11">ABS(T5*100-AN5)</f>
        <v>2.3553015646271547E-5</v>
      </c>
      <c r="U41" s="53">
        <f t="shared" ref="U41" si="12">ABS(U5*100-AO5)</f>
        <v>2.5604290907921268E-5</v>
      </c>
      <c r="V41" s="53">
        <f t="shared" ref="V41" si="13">ABS(V5*100-AP5)</f>
        <v>1.8357677255664839E-5</v>
      </c>
      <c r="W41" s="53">
        <f t="shared" ref="W41" si="14">ABS(W5*100-AQ5)</f>
        <v>3.2820478887529703E-5</v>
      </c>
      <c r="X41" s="53">
        <f t="shared" ref="X41" si="15">ABS(X5*100-AR5)</f>
        <v>0</v>
      </c>
      <c r="Y41" s="53">
        <f t="shared" ref="Y41" si="16">ABS(Y5*100-AS5)</f>
        <v>2.7908007893984177E-5</v>
      </c>
      <c r="Z41" s="53">
        <f t="shared" ref="Z41" si="17">ABS(Z5*100-AT5)</f>
        <v>1.3954003946992088E-5</v>
      </c>
      <c r="AA41" s="53">
        <f t="shared" ref="AA41" si="18">ABS(AA5*100-AU5)</f>
        <v>3.5527136788005009E-15</v>
      </c>
      <c r="AB41" s="53">
        <f t="shared" ref="AB41" si="19">ABS(AB5*100-AV5)</f>
        <v>3.3333333330887172E-5</v>
      </c>
      <c r="AD41" s="63" t="s">
        <v>159</v>
      </c>
      <c r="AE41">
        <f>C4</f>
        <v>-4.7962790128971301E-3</v>
      </c>
    </row>
    <row r="42" spans="1:48" ht="18" x14ac:dyDescent="0.4">
      <c r="A42" s="1"/>
      <c r="B42" s="1"/>
      <c r="C42" s="1"/>
      <c r="D42" s="1"/>
      <c r="E42" s="1"/>
      <c r="F42" s="1"/>
      <c r="G42" s="1"/>
      <c r="H42" s="1"/>
      <c r="I42" s="1" t="s">
        <v>131</v>
      </c>
      <c r="J42" s="53">
        <f>ABS(J6-AD6)</f>
        <v>5.4597561103264525E-4</v>
      </c>
      <c r="K42" s="53">
        <f t="shared" ref="K42:AB42" si="20">ABS(K6-AE6)</f>
        <v>5.3980587634328003E-4</v>
      </c>
      <c r="L42" s="53">
        <f t="shared" si="20"/>
        <v>4.7607326536081018E-4</v>
      </c>
      <c r="M42" s="53">
        <f t="shared" si="20"/>
        <v>4.6160598753886006E-4</v>
      </c>
      <c r="N42" s="53">
        <f t="shared" si="20"/>
        <v>5.3366425686363073E-4</v>
      </c>
      <c r="O42" s="53">
        <f t="shared" si="20"/>
        <v>5.0720994195785352E-4</v>
      </c>
      <c r="P42" s="53">
        <f t="shared" si="20"/>
        <v>5.0471380561134538E-4</v>
      </c>
      <c r="Q42" s="53">
        <f t="shared" si="20"/>
        <v>5.13809400416676E-4</v>
      </c>
      <c r="R42" s="53">
        <f t="shared" si="20"/>
        <v>4.8030569735146855E-4</v>
      </c>
      <c r="S42" s="53">
        <f t="shared" si="20"/>
        <v>5.1068153086930579E-4</v>
      </c>
      <c r="T42" s="53">
        <f>ABS(T6-AN6)</f>
        <v>4.9220802861782431E-4</v>
      </c>
      <c r="U42" s="53">
        <f t="shared" si="20"/>
        <v>4.4791227642804188E-4</v>
      </c>
      <c r="V42" s="53">
        <f t="shared" si="20"/>
        <v>5.2651460239871994E-4</v>
      </c>
      <c r="W42" s="53">
        <f t="shared" si="20"/>
        <v>4.6763125726556609E-4</v>
      </c>
      <c r="X42" s="53">
        <f t="shared" si="20"/>
        <v>4.9861322523270246E-4</v>
      </c>
      <c r="Y42" s="53">
        <f t="shared" si="20"/>
        <v>5.2268047909365123E-4</v>
      </c>
      <c r="Z42" s="53">
        <f t="shared" si="20"/>
        <v>4.6082854888140901E-4</v>
      </c>
      <c r="AA42" s="53">
        <f t="shared" si="20"/>
        <v>4.6865683736996289E-4</v>
      </c>
      <c r="AB42" s="53">
        <f t="shared" si="20"/>
        <v>4.5867555175505004E-4</v>
      </c>
      <c r="AD42" s="63" t="s">
        <v>160</v>
      </c>
      <c r="AE42">
        <f>D4</f>
        <v>3.0723508099563267E-2</v>
      </c>
    </row>
    <row r="43" spans="1:48" ht="18" x14ac:dyDescent="0.4">
      <c r="A43" s="1"/>
      <c r="B43" s="1"/>
      <c r="C43" s="1"/>
      <c r="D43" s="1"/>
      <c r="E43" s="1"/>
      <c r="F43" s="1"/>
      <c r="G43" s="1"/>
      <c r="H43" s="1"/>
      <c r="I43" s="1"/>
      <c r="J43" s="53">
        <f t="shared" ref="J43" si="21">IF(ABS(J7*100-AD7)&lt;0.01,0,ABS(J7*100-AD7))</f>
        <v>0</v>
      </c>
      <c r="K43" s="53">
        <f t="shared" ref="K43" si="22">IF(ABS(K7*100-AE7)&lt;0.01,0,ABS(K7*100-AE7))</f>
        <v>0</v>
      </c>
      <c r="L43" s="53">
        <f t="shared" ref="L43" si="23">IF(ABS(L7*100-AF7)&lt;0.01,0,ABS(L7*100-AF7))</f>
        <v>0</v>
      </c>
      <c r="M43" s="53">
        <f t="shared" ref="M43" si="24">IF(ABS(M7*100-AG7)&lt;0.01,0,ABS(M7*100-AG7))</f>
        <v>0</v>
      </c>
      <c r="N43" s="53">
        <f t="shared" ref="N43" si="25">IF(ABS(N7*100-AH7)&lt;0.01,0,ABS(N7*100-AH7))</f>
        <v>0</v>
      </c>
      <c r="O43" s="53">
        <f t="shared" ref="O43" si="26">IF(ABS(O7*100-AI7)&lt;0.01,0,ABS(O7*100-AI7))</f>
        <v>0</v>
      </c>
      <c r="P43" s="53">
        <f t="shared" ref="P43" si="27">IF(ABS(P7*100-AJ7)&lt;0.01,0,ABS(P7*100-AJ7))</f>
        <v>0</v>
      </c>
      <c r="Q43" s="53">
        <f t="shared" ref="Q43" si="28">IF(ABS(Q7*100-AK7)&lt;0.01,0,ABS(Q7*100-AK7))</f>
        <v>0</v>
      </c>
      <c r="R43" s="53">
        <f t="shared" ref="R43" si="29">IF(ABS(R7*100-AL7)&lt;0.01,0,ABS(R7*100-AL7))</f>
        <v>0</v>
      </c>
      <c r="S43" s="53">
        <f t="shared" ref="S43" si="30">IF(ABS(S7*100-AM7)&lt;0.01,0,ABS(S7*100-AM7))</f>
        <v>0</v>
      </c>
      <c r="T43" s="53">
        <f t="shared" ref="T43" si="31">IF(ABS(T7*100-AN7)&lt;0.01,0,ABS(T7*100-AN7))</f>
        <v>0</v>
      </c>
      <c r="U43" s="53">
        <f t="shared" ref="U43" si="32">IF(ABS(U7*100-AO7)&lt;0.01,0,ABS(U7*100-AO7))</f>
        <v>0</v>
      </c>
      <c r="V43" s="53">
        <f t="shared" ref="V43" si="33">IF(ABS(V7*100-AP7)&lt;0.01,0,ABS(V7*100-AP7))</f>
        <v>0</v>
      </c>
      <c r="W43" s="53">
        <f t="shared" ref="W43" si="34">IF(ABS(W7*100-AQ7)&lt;0.01,0,ABS(W7*100-AQ7))</f>
        <v>0</v>
      </c>
      <c r="X43" s="53">
        <f t="shared" ref="X43" si="35">IF(ABS(X7*100-AR7)&lt;0.01,0,ABS(X7*100-AR7))</f>
        <v>0</v>
      </c>
      <c r="Y43" s="53">
        <f t="shared" ref="Y43" si="36">IF(ABS(Y7*100-AS7)&lt;0.01,0,ABS(Y7*100-AS7))</f>
        <v>0</v>
      </c>
      <c r="Z43" s="53">
        <f t="shared" ref="Z43" si="37">IF(ABS(Z7*100-AT7)&lt;0.01,0,ABS(Z7*100-AT7))</f>
        <v>0</v>
      </c>
      <c r="AA43" s="53">
        <f t="shared" ref="AA43" si="38">IF(ABS(AA7*100-AU7)&lt;0.01,0,ABS(AA7*100-AU7))</f>
        <v>0</v>
      </c>
      <c r="AB43" s="53">
        <f t="shared" ref="AB43" si="39">IF(ABS(AB7*100-AV7)&lt;0.01,0,ABS(AB7*100-AV7))</f>
        <v>0</v>
      </c>
      <c r="AD43" s="63" t="s">
        <v>161</v>
      </c>
      <c r="AE43">
        <f>J5</f>
        <v>0.14418715986588704</v>
      </c>
    </row>
    <row r="44" spans="1:48" ht="18" x14ac:dyDescent="0.4">
      <c r="A44" s="1"/>
      <c r="B44" s="1"/>
      <c r="C44" s="1"/>
      <c r="D44" s="1"/>
      <c r="E44" s="1"/>
      <c r="F44" s="1"/>
      <c r="G44" s="1"/>
      <c r="H44" s="1"/>
      <c r="I44" s="1"/>
      <c r="J44" s="53">
        <f t="shared" ref="J44" si="40">ABS(J8*100-AD8)</f>
        <v>3.5694042097134115E-5</v>
      </c>
      <c r="K44" s="53">
        <f t="shared" ref="K44" si="41">ABS(K8*100-AE8)</f>
        <v>1.7763568394002505E-15</v>
      </c>
      <c r="L44" s="53">
        <f t="shared" ref="L44" si="42">ABS(L8*100-AF8)</f>
        <v>1.848901692369509E-5</v>
      </c>
      <c r="M44" s="53">
        <f t="shared" ref="M44" si="43">ABS(M8*100-AG8)</f>
        <v>3.2670357281716633E-6</v>
      </c>
      <c r="N44" s="53">
        <f t="shared" ref="N44" si="44">ABS(N8*100-AH8)</f>
        <v>0</v>
      </c>
      <c r="O44" s="53">
        <f t="shared" ref="O44" si="45">ABS(O8*100-AI8)</f>
        <v>3.7460847838843847E-5</v>
      </c>
      <c r="P44" s="53">
        <f t="shared" ref="P44" si="46">ABS(P8*100-AJ8)</f>
        <v>4.2583028074361096E-5</v>
      </c>
      <c r="Q44" s="53">
        <f t="shared" ref="Q44" si="47">ABS(Q8*100-AK8)</f>
        <v>3.6691676760014502E-5</v>
      </c>
      <c r="R44" s="53">
        <f t="shared" ref="R44" si="48">ABS(R8*100-AL8)</f>
        <v>4.4167803505246184E-5</v>
      </c>
      <c r="S44" s="53">
        <f t="shared" ref="S44" si="49">ABS(S8*100-AM8)</f>
        <v>1.7763568394002505E-15</v>
      </c>
      <c r="T44" s="53">
        <f t="shared" ref="T44" si="50">ABS(T8*100-AN8)</f>
        <v>2.5569439781492065E-5</v>
      </c>
      <c r="U44" s="53">
        <f t="shared" ref="U44" si="51">ABS(U8*100-AO8)</f>
        <v>2.1787467563427754E-5</v>
      </c>
      <c r="V44" s="53">
        <f t="shared" ref="V44" si="52">ABS(V8*100-AP8)</f>
        <v>6.0923460907247318E-6</v>
      </c>
      <c r="W44" s="53">
        <f t="shared" ref="W44" si="53">ABS(W8*100-AQ8)</f>
        <v>4.9533626757636284E-5</v>
      </c>
      <c r="X44" s="53">
        <f t="shared" ref="X44" si="54">ABS(X8*100-AR8)</f>
        <v>0</v>
      </c>
      <c r="Y44" s="53">
        <f t="shared" ref="Y44" si="55">ABS(Y8*100-AS8)</f>
        <v>5.0376061722090526E-7</v>
      </c>
      <c r="Z44" s="53">
        <f t="shared" ref="Z44" si="56">ABS(Z8*100-AT8)</f>
        <v>2.5188030861045263E-7</v>
      </c>
      <c r="AA44" s="53">
        <f t="shared" ref="AA44" si="57">ABS(AA8*100-AU8)</f>
        <v>0</v>
      </c>
      <c r="AB44" s="53">
        <f t="shared" ref="AB44" si="58">ABS(AB8*100-AV8)</f>
        <v>3.3333333330887172E-5</v>
      </c>
      <c r="AD44" s="63" t="s">
        <v>162</v>
      </c>
      <c r="AE44">
        <f>Input!E4</f>
        <v>143.83000000000001</v>
      </c>
    </row>
    <row r="45" spans="1:48" ht="18" x14ac:dyDescent="0.4">
      <c r="A45" s="1"/>
      <c r="B45" s="1"/>
      <c r="C45" s="1"/>
      <c r="D45" s="1"/>
      <c r="E45" s="1"/>
      <c r="F45" s="1"/>
      <c r="G45" s="1"/>
      <c r="H45" s="1"/>
      <c r="I45" s="1"/>
      <c r="J45" s="53">
        <f t="shared" ref="J45" si="59">ABS(J9-AD9)</f>
        <v>1.8248741639581567E-5</v>
      </c>
      <c r="K45" s="53">
        <f t="shared" ref="K45" si="60">ABS(K9-AE9)</f>
        <v>3.63152499573971E-5</v>
      </c>
      <c r="L45" s="53">
        <f t="shared" ref="L45" si="61">ABS(L9-AF9)</f>
        <v>2.2909782074975737E-5</v>
      </c>
      <c r="M45" s="53">
        <f t="shared" ref="M45" si="62">ABS(M9-AG9)</f>
        <v>4.6847391104165581E-6</v>
      </c>
      <c r="N45" s="53">
        <f t="shared" ref="N45" si="63">ABS(N9-AH9)</f>
        <v>2.7761761458577894E-5</v>
      </c>
      <c r="O45" s="53">
        <f t="shared" ref="O45" si="64">ABS(O9-AI9)</f>
        <v>1.4504464928677407E-5</v>
      </c>
      <c r="P45" s="53">
        <f t="shared" ref="P45" si="65">ABS(P9-AJ9)</f>
        <v>2.5865978926731259E-5</v>
      </c>
      <c r="Q45" s="53">
        <f t="shared" ref="Q45" si="66">ABS(Q9-AK9)</f>
        <v>3.4657752507882833E-6</v>
      </c>
      <c r="R45" s="53">
        <f t="shared" ref="R45" si="67">ABS(R9-AL9)</f>
        <v>1.4428342581140896E-5</v>
      </c>
      <c r="S45" s="53">
        <f t="shared" ref="S45:T45" si="68">ABS(S9-AM9)</f>
        <v>4.9195650518640832E-5</v>
      </c>
      <c r="T45" s="53">
        <f t="shared" si="68"/>
        <v>3.3286738698734553E-7</v>
      </c>
      <c r="U45" s="53">
        <f t="shared" ref="U45" si="69">ABS(U9-AO9)</f>
        <v>2.0725162215740056E-5</v>
      </c>
      <c r="V45" s="53">
        <f t="shared" ref="V45" si="70">ABS(V9-AP9)</f>
        <v>8.1848853881183459E-6</v>
      </c>
      <c r="W45" s="53">
        <f t="shared" ref="W45" si="71">ABS(W9-AQ9)</f>
        <v>3.039047442143783E-6</v>
      </c>
      <c r="X45" s="53">
        <f t="shared" ref="X45" si="72">ABS(X9-AR9)</f>
        <v>3.4155862238094414E-5</v>
      </c>
      <c r="Y45" s="53">
        <f t="shared" ref="Y45" si="73">ABS(Y9-AS9)</f>
        <v>4.2422000746000776E-5</v>
      </c>
      <c r="Z45" s="53">
        <f t="shared" ref="Z45" si="74">ABS(Z9-AT9)</f>
        <v>3.7121162080211434E-5</v>
      </c>
      <c r="AA45" s="53">
        <f t="shared" ref="AA45" si="75">ABS(AA9-AU9)</f>
        <v>5.4124433063407196E-5</v>
      </c>
      <c r="AB45" s="53">
        <f t="shared" ref="AB45" si="76">ABS(AB9-AV9)</f>
        <v>3.4342058256697783E-5</v>
      </c>
      <c r="AD45" s="63" t="s">
        <v>163</v>
      </c>
      <c r="AE45">
        <f>J6</f>
        <v>148.54795402438896</v>
      </c>
    </row>
    <row r="46" spans="1:48" ht="18" x14ac:dyDescent="0.4">
      <c r="A46" s="1"/>
      <c r="B46" s="1"/>
      <c r="C46" s="1"/>
      <c r="D46" s="1"/>
      <c r="E46" s="1"/>
      <c r="F46" s="1"/>
      <c r="G46" s="1"/>
      <c r="H46" s="1"/>
      <c r="I46" s="1"/>
      <c r="J46" s="53">
        <f t="shared" ref="J46" si="77">IF(ABS(J10*100-AD10)&lt;0.01,0,ABS(J10*100-AD10))</f>
        <v>0</v>
      </c>
      <c r="K46" s="53">
        <f t="shared" ref="K46" si="78">IF(ABS(K10*100-AE10)&lt;0.01,0,ABS(K10*100-AE10))</f>
        <v>0</v>
      </c>
      <c r="L46" s="53">
        <f t="shared" ref="L46" si="79">IF(ABS(L10*100-AF10)&lt;0.01,0,ABS(L10*100-AF10))</f>
        <v>0</v>
      </c>
      <c r="M46" s="53">
        <f t="shared" ref="M46" si="80">IF(ABS(M10*100-AG10)&lt;0.01,0,ABS(M10*100-AG10))</f>
        <v>0</v>
      </c>
      <c r="N46" s="53">
        <f t="shared" ref="N46" si="81">IF(ABS(N10*100-AH10)&lt;0.01,0,ABS(N10*100-AH10))</f>
        <v>0</v>
      </c>
      <c r="O46" s="53">
        <f t="shared" ref="O46" si="82">IF(ABS(O10*100-AI10)&lt;0.01,0,ABS(O10*100-AI10))</f>
        <v>0</v>
      </c>
      <c r="P46" s="53">
        <f t="shared" ref="P46" si="83">IF(ABS(P10*100-AJ10)&lt;0.01,0,ABS(P10*100-AJ10))</f>
        <v>0</v>
      </c>
      <c r="Q46" s="53">
        <f t="shared" ref="Q46" si="84">IF(ABS(Q10*100-AK10)&lt;0.01,0,ABS(Q10*100-AK10))</f>
        <v>0</v>
      </c>
      <c r="R46" s="53">
        <f t="shared" ref="R46" si="85">IF(ABS(R10*100-AL10)&lt;0.01,0,ABS(R10*100-AL10))</f>
        <v>0</v>
      </c>
      <c r="S46" s="53">
        <f t="shared" ref="S46" si="86">IF(ABS(S10*100-AM10)&lt;0.01,0,ABS(S10*100-AM10))</f>
        <v>0</v>
      </c>
      <c r="T46" s="53">
        <f t="shared" ref="T46" si="87">IF(ABS(T10*100-AN10)&lt;0.01,0,ABS(T10*100-AN10))</f>
        <v>0</v>
      </c>
      <c r="U46" s="53">
        <f t="shared" ref="U46" si="88">IF(ABS(U10*100-AO10)&lt;0.01,0,ABS(U10*100-AO10))</f>
        <v>0</v>
      </c>
      <c r="V46" s="53">
        <f t="shared" ref="V46" si="89">IF(ABS(V10*100-AP10)&lt;0.01,0,ABS(V10*100-AP10))</f>
        <v>0</v>
      </c>
      <c r="W46" s="53">
        <f t="shared" ref="W46" si="90">IF(ABS(W10*100-AQ10)&lt;0.01,0,ABS(W10*100-AQ10))</f>
        <v>0</v>
      </c>
      <c r="X46" s="53">
        <f t="shared" ref="X46" si="91">IF(ABS(X10*100-AR10)&lt;0.01,0,ABS(X10*100-AR10))</f>
        <v>0</v>
      </c>
      <c r="Y46" s="53">
        <f t="shared" ref="Y46" si="92">IF(ABS(Y10*100-AS10)&lt;0.01,0,ABS(Y10*100-AS10))</f>
        <v>0</v>
      </c>
      <c r="Z46" s="53">
        <f t="shared" ref="Z46" si="93">IF(ABS(Z10*100-AT10)&lt;0.01,0,ABS(Z10*100-AT10))</f>
        <v>0</v>
      </c>
      <c r="AA46" s="53">
        <f t="shared" ref="AA46" si="94">IF(ABS(AA10*100-AU10)&lt;0.01,0,ABS(AA10*100-AU10))</f>
        <v>0</v>
      </c>
      <c r="AB46" s="53">
        <f t="shared" ref="AB46" si="95">IF(ABS(AB10*100-AV10)&lt;0.01,0,ABS(AB10*100-AV10))</f>
        <v>0</v>
      </c>
      <c r="AD46" s="63"/>
    </row>
    <row r="47" spans="1:48" ht="18" x14ac:dyDescent="0.4">
      <c r="A47" s="1"/>
      <c r="B47" s="1"/>
      <c r="C47" s="1"/>
      <c r="D47" s="1"/>
      <c r="E47" s="1"/>
      <c r="F47" s="1"/>
      <c r="G47" s="1"/>
      <c r="H47" s="1"/>
      <c r="I47" s="1"/>
      <c r="J47" s="53">
        <f t="shared" ref="J47" si="96">ABS(J11*100-AD11)</f>
        <v>1.2723576270801118E-5</v>
      </c>
      <c r="K47" s="53">
        <f t="shared" ref="K47" si="97">ABS(K11*100-AE11)</f>
        <v>4.0856207306205761E-14</v>
      </c>
      <c r="L47" s="53">
        <f t="shared" ref="L47" si="98">ABS(L11*100-AF11)</f>
        <v>2.6458865292511291E-5</v>
      </c>
      <c r="M47" s="53">
        <f t="shared" ref="M47" si="99">ABS(M11*100-AG11)</f>
        <v>3.1440386296210932E-5</v>
      </c>
      <c r="N47" s="53">
        <f t="shared" ref="N47" si="100">ABS(N11*100-AH11)</f>
        <v>5.3290705182007514E-15</v>
      </c>
      <c r="O47" s="53">
        <f t="shared" ref="O47" si="101">ABS(O11*100-AI11)</f>
        <v>1.1152403239123032E-5</v>
      </c>
      <c r="P47" s="53">
        <f t="shared" ref="P47" si="102">ABS(P11*100-AJ11)</f>
        <v>2.6942997381596001E-5</v>
      </c>
      <c r="Q47" s="53">
        <f t="shared" ref="Q47" si="103">ABS(Q11*100-AK11)</f>
        <v>2.7372054915986155E-5</v>
      </c>
      <c r="R47" s="53">
        <f t="shared" ref="R47" si="104">ABS(R11*100-AL11)</f>
        <v>1.3390057095108432E-5</v>
      </c>
      <c r="S47" s="53">
        <f t="shared" ref="S47" si="105">ABS(S11*100-AM11)</f>
        <v>0</v>
      </c>
      <c r="T47" s="53">
        <f t="shared" ref="T47" si="106">ABS(T11*100-AN11)</f>
        <v>2.6659907154780171E-5</v>
      </c>
      <c r="U47" s="53">
        <f t="shared" ref="U47" si="107">ABS(U11*100-AO11)</f>
        <v>2.7100900707566211E-5</v>
      </c>
      <c r="V47" s="53">
        <f t="shared" ref="V47" si="108">ABS(V11*100-AP11)</f>
        <v>3.6622249950823971E-5</v>
      </c>
      <c r="W47" s="53">
        <f t="shared" ref="W47" si="109">ABS(W11*100-AQ11)</f>
        <v>3.6929884927872081E-7</v>
      </c>
      <c r="X47" s="53">
        <f t="shared" ref="X47" si="110">ABS(X11*100-AR11)</f>
        <v>3.5527136788005009E-15</v>
      </c>
      <c r="Y47" s="53">
        <f t="shared" ref="Y47" si="111">ABS(Y11*100-AS11)</f>
        <v>2.3914468757268992E-5</v>
      </c>
      <c r="Z47" s="53">
        <f t="shared" ref="Z47" si="112">ABS(Z11*100-AT11)</f>
        <v>1.1957234377746317E-5</v>
      </c>
      <c r="AA47" s="53">
        <f t="shared" ref="AA47" si="113">ABS(AA11*100-AU11)</f>
        <v>0</v>
      </c>
      <c r="AB47" s="53">
        <f t="shared" ref="AB47" si="114">ABS(AB11*100-AV11)</f>
        <v>0</v>
      </c>
      <c r="AD47" s="63" t="s">
        <v>170</v>
      </c>
      <c r="AE47">
        <f>AE43*SQRT(AE40)</f>
        <v>1.9967752049093342E-2</v>
      </c>
    </row>
    <row r="48" spans="1:48" ht="18" x14ac:dyDescent="0.4">
      <c r="A48" s="1"/>
      <c r="B48" s="1"/>
      <c r="C48" s="1"/>
      <c r="D48" s="1"/>
      <c r="E48" s="1"/>
      <c r="F48" s="1"/>
      <c r="G48" s="1"/>
      <c r="H48" s="1"/>
      <c r="I48" s="1"/>
      <c r="J48" s="53">
        <f t="shared" ref="J48" si="115">ABS(J12-AD12)</f>
        <v>2.9523918072982269E-5</v>
      </c>
      <c r="K48" s="53">
        <f t="shared" ref="K48" si="116">ABS(K12-AE12)</f>
        <v>2.9958064232005199E-5</v>
      </c>
      <c r="L48" s="53">
        <f t="shared" ref="L48" si="117">ABS(L12-AF12)</f>
        <v>2.8543044663820183E-5</v>
      </c>
      <c r="M48" s="53">
        <f t="shared" ref="M48" si="118">ABS(M12-AG12)</f>
        <v>2.5772837886961497E-5</v>
      </c>
      <c r="N48" s="53">
        <f t="shared" ref="N48" si="119">ABS(N12-AH12)</f>
        <v>3.0043935424828305E-5</v>
      </c>
      <c r="O48" s="53">
        <f t="shared" ref="O48" si="120">ABS(O12-AI12)</f>
        <v>3.4710538528770485E-5</v>
      </c>
      <c r="P48" s="53">
        <f t="shared" ref="P48" si="121">ABS(P12-AJ12)</f>
        <v>2.545368008100013E-5</v>
      </c>
      <c r="Q48" s="53">
        <f t="shared" ref="Q48" si="122">ABS(Q12-AK12)</f>
        <v>1.486124659777488E-5</v>
      </c>
      <c r="R48" s="53">
        <f t="shared" ref="R48" si="123">ABS(R12-AL12)</f>
        <v>2.9610740313046335E-5</v>
      </c>
      <c r="S48" s="53">
        <f t="shared" ref="S48:T48" si="124">ABS(S12-AM12)</f>
        <v>4.9514659082205981E-5</v>
      </c>
      <c r="T48" s="53">
        <f t="shared" si="124"/>
        <v>2.7480465348617145E-5</v>
      </c>
      <c r="U48" s="53">
        <f t="shared" ref="U48" si="125">ABS(U12-AO12)</f>
        <v>4.9054017921434934E-5</v>
      </c>
      <c r="V48" s="53">
        <f t="shared" ref="V48" si="126">ABS(V12-AP12)</f>
        <v>3.3357498239183769E-6</v>
      </c>
      <c r="W48" s="53">
        <f t="shared" ref="W48" si="127">ABS(W12-AQ12)</f>
        <v>3.8221959158590835E-5</v>
      </c>
      <c r="X48" s="53">
        <f t="shared" ref="X48" si="128">ABS(X12-AR12)</f>
        <v>3.1517986144535826E-5</v>
      </c>
      <c r="Y48" s="53">
        <f t="shared" ref="Y48" si="129">ABS(Y12-AS12)</f>
        <v>3.9795100860828825E-5</v>
      </c>
      <c r="Z48" s="53">
        <f t="shared" ref="Z48" si="130">ABS(Z12-AT12)</f>
        <v>4.1435589992033783E-5</v>
      </c>
      <c r="AA48" s="53">
        <f t="shared" ref="AA48" si="131">ABS(AA12-AU12)</f>
        <v>2.7898369154399916E-5</v>
      </c>
      <c r="AB48" s="53">
        <f t="shared" ref="AB48" si="132">ABS(AB12-AV12)</f>
        <v>2.1198563459279285E-5</v>
      </c>
    </row>
    <row r="49" spans="1:31" ht="18" x14ac:dyDescent="0.4">
      <c r="A49" s="1"/>
      <c r="B49" s="1"/>
      <c r="C49" s="1"/>
      <c r="D49" s="1"/>
      <c r="E49" s="1"/>
      <c r="F49" s="1"/>
      <c r="G49" s="1"/>
      <c r="H49" s="1"/>
      <c r="I49" s="1"/>
      <c r="J49" s="53">
        <f t="shared" ref="J49" si="133">IF(ABS(J13*100-AD13)&lt;0.01,0,ABS(J13*100-AD13))</f>
        <v>0</v>
      </c>
      <c r="K49" s="53">
        <f t="shared" ref="K49" si="134">IF(ABS(K13*100-AE13)&lt;0.01,0,ABS(K13*100-AE13))</f>
        <v>0</v>
      </c>
      <c r="L49" s="53">
        <f t="shared" ref="L49" si="135">IF(ABS(L13*100-AF13)&lt;0.01,0,ABS(L13*100-AF13))</f>
        <v>0</v>
      </c>
      <c r="M49" s="53">
        <f t="shared" ref="M49" si="136">IF(ABS(M13*100-AG13)&lt;0.01,0,ABS(M13*100-AG13))</f>
        <v>0</v>
      </c>
      <c r="N49" s="53">
        <f t="shared" ref="N49" si="137">IF(ABS(N13*100-AH13)&lt;0.01,0,ABS(N13*100-AH13))</f>
        <v>0</v>
      </c>
      <c r="O49" s="53">
        <f t="shared" ref="O49" si="138">IF(ABS(O13*100-AI13)&lt;0.01,0,ABS(O13*100-AI13))</f>
        <v>0</v>
      </c>
      <c r="P49" s="53">
        <f t="shared" ref="P49" si="139">IF(ABS(P13*100-AJ13)&lt;0.01,0,ABS(P13*100-AJ13))</f>
        <v>0</v>
      </c>
      <c r="Q49" s="53">
        <f t="shared" ref="Q49" si="140">IF(ABS(Q13*100-AK13)&lt;0.01,0,ABS(Q13*100-AK13))</f>
        <v>0</v>
      </c>
      <c r="R49" s="53">
        <f t="shared" ref="R49" si="141">IF(ABS(R13*100-AL13)&lt;0.01,0,ABS(R13*100-AL13))</f>
        <v>0</v>
      </c>
      <c r="S49" s="53">
        <f t="shared" ref="S49" si="142">IF(ABS(S13*100-AM13)&lt;0.01,0,ABS(S13*100-AM13))</f>
        <v>0</v>
      </c>
      <c r="T49" s="53">
        <f t="shared" ref="T49" si="143">IF(ABS(T13*100-AN13)&lt;0.01,0,ABS(T13*100-AN13))</f>
        <v>0</v>
      </c>
      <c r="U49" s="53">
        <f t="shared" ref="U49" si="144">IF(ABS(U13*100-AO13)&lt;0.01,0,ABS(U13*100-AO13))</f>
        <v>0</v>
      </c>
      <c r="V49" s="53">
        <f t="shared" ref="V49" si="145">IF(ABS(V13*100-AP13)&lt;0.01,0,ABS(V13*100-AP13))</f>
        <v>0</v>
      </c>
      <c r="W49" s="53">
        <f t="shared" ref="W49" si="146">IF(ABS(W13*100-AQ13)&lt;0.01,0,ABS(W13*100-AQ13))</f>
        <v>0</v>
      </c>
      <c r="X49" s="53">
        <f t="shared" ref="X49" si="147">IF(ABS(X13*100-AR13)&lt;0.01,0,ABS(X13*100-AR13))</f>
        <v>0</v>
      </c>
      <c r="Y49" s="53">
        <f t="shared" ref="Y49" si="148">IF(ABS(Y13*100-AS13)&lt;0.01,0,ABS(Y13*100-AS13))</f>
        <v>0</v>
      </c>
      <c r="Z49" s="53">
        <f t="shared" ref="Z49" si="149">IF(ABS(Z13*100-AT13)&lt;0.01,0,ABS(Z13*100-AT13))</f>
        <v>0</v>
      </c>
      <c r="AA49" s="53">
        <f t="shared" ref="AA49" si="150">IF(ABS(AA13*100-AU13)&lt;0.01,0,ABS(AA13*100-AU13))</f>
        <v>0</v>
      </c>
      <c r="AB49" s="53">
        <f t="shared" ref="AB49" si="151">IF(ABS(AB13*100-AV13)&lt;0.01,0,ABS(AB13*100-AV13))</f>
        <v>0</v>
      </c>
      <c r="AD49" s="63" t="s">
        <v>169</v>
      </c>
      <c r="AE49">
        <f>AE44*EXP((AE41-AE42)*AE40)</f>
        <v>143.7320561666414</v>
      </c>
    </row>
    <row r="50" spans="1:31" ht="18" x14ac:dyDescent="0.4">
      <c r="A50" s="1"/>
      <c r="B50" s="1"/>
      <c r="C50" s="1"/>
      <c r="D50" s="1"/>
      <c r="E50" s="1"/>
      <c r="F50" s="1"/>
      <c r="G50" s="1"/>
      <c r="H50" s="1"/>
      <c r="I50" s="1"/>
      <c r="J50" s="53">
        <f t="shared" ref="J50" si="152">ABS(J14*100-AD14)</f>
        <v>8.5116266266282992E-6</v>
      </c>
      <c r="K50" s="53">
        <f t="shared" ref="K50" si="153">ABS(K14*100-AE14)</f>
        <v>2.8421709430404007E-14</v>
      </c>
      <c r="L50" s="53">
        <f t="shared" ref="L50" si="154">ABS(L14*100-AF14)</f>
        <v>4.6778376628253682E-5</v>
      </c>
      <c r="M50" s="53">
        <f t="shared" ref="M50" si="155">ABS(M14*100-AG14)</f>
        <v>4.5640418193215737E-5</v>
      </c>
      <c r="N50" s="53">
        <f t="shared" ref="N50" si="156">ABS(N14*100-AH14)</f>
        <v>0</v>
      </c>
      <c r="O50" s="53">
        <f t="shared" ref="O50" si="157">ABS(O14*100-AI14)</f>
        <v>4.2602617618570093E-5</v>
      </c>
      <c r="P50" s="53">
        <f t="shared" ref="P50" si="158">ABS(P14*100-AJ14)</f>
        <v>2.4478550832540691E-5</v>
      </c>
      <c r="Q50" s="53">
        <f t="shared" ref="Q50" si="159">ABS(Q14*100-AK14)</f>
        <v>3.6658929580823951E-5</v>
      </c>
      <c r="R50" s="53">
        <f t="shared" ref="R50" si="160">ABS(R14*100-AL14)</f>
        <v>4.7979786543805858E-5</v>
      </c>
      <c r="S50" s="53">
        <f t="shared" ref="S50" si="161">ABS(S14*100-AM14)</f>
        <v>0</v>
      </c>
      <c r="T50" s="53">
        <f t="shared" ref="T50" si="162">ABS(T14*100-AN14)</f>
        <v>4.3266849116818662E-5</v>
      </c>
      <c r="U50" s="53">
        <f t="shared" ref="U50" si="163">ABS(U14*100-AO14)</f>
        <v>1.1531370454065382E-5</v>
      </c>
      <c r="V50" s="53">
        <f t="shared" ref="V50" si="164">ABS(V14*100-AP14)</f>
        <v>2.8770674129319218E-5</v>
      </c>
      <c r="W50" s="53">
        <f t="shared" ref="W50" si="165">ABS(W14*100-AQ14)</f>
        <v>6.1293306323761954E-6</v>
      </c>
      <c r="X50" s="53">
        <f t="shared" ref="X50" si="166">ABS(X14*100-AR14)</f>
        <v>0</v>
      </c>
      <c r="Y50" s="53">
        <f t="shared" ref="Y50" si="167">ABS(Y14*100-AS14)</f>
        <v>1.4246426623287789E-5</v>
      </c>
      <c r="Z50" s="53">
        <f t="shared" ref="Z50" si="168">ABS(Z14*100-AT14)</f>
        <v>7.1232133098675376E-6</v>
      </c>
      <c r="AA50" s="53">
        <f t="shared" ref="AA50" si="169">ABS(AA14*100-AU14)</f>
        <v>0</v>
      </c>
      <c r="AB50" s="53">
        <f t="shared" ref="AB50" si="170">ABS(AB14*100-AV14)</f>
        <v>3.3333333330887172E-5</v>
      </c>
      <c r="AD50" s="63" t="s">
        <v>167</v>
      </c>
      <c r="AE50">
        <f>LN(AE49/AE45)/AE47+AE47/2</f>
        <v>-1.6405265839131595</v>
      </c>
    </row>
    <row r="51" spans="1:31" ht="18" x14ac:dyDescent="0.4">
      <c r="A51" s="1"/>
      <c r="B51" s="1"/>
      <c r="C51" s="1"/>
      <c r="D51" s="1"/>
      <c r="E51" s="1"/>
      <c r="F51" s="1"/>
      <c r="G51" s="1"/>
      <c r="H51" s="1"/>
      <c r="I51" s="1"/>
      <c r="J51" s="53">
        <f t="shared" ref="J51" si="171">ABS(J15-AD15)</f>
        <v>2.0659438149550624E-5</v>
      </c>
      <c r="K51" s="53">
        <f t="shared" ref="K51" si="172">ABS(K15-AE15)</f>
        <v>3.2956929203464824E-5</v>
      </c>
      <c r="L51" s="53">
        <f t="shared" ref="L51" si="173">ABS(L15-AF15)</f>
        <v>7.960357038427901E-6</v>
      </c>
      <c r="M51" s="53">
        <f t="shared" ref="M51" si="174">ABS(M15-AG15)</f>
        <v>5.4654120162922482E-6</v>
      </c>
      <c r="N51" s="53">
        <f t="shared" ref="N51" si="175">ABS(N15-AH15)</f>
        <v>5.1174733982861653E-5</v>
      </c>
      <c r="O51" s="53">
        <f t="shared" ref="O51" si="176">ABS(O15-AI15)</f>
        <v>1.3206602261561784E-5</v>
      </c>
      <c r="P51" s="53">
        <f t="shared" ref="P51" si="177">ABS(P15-AJ15)</f>
        <v>4.8751754292197802E-5</v>
      </c>
      <c r="Q51" s="53">
        <f t="shared" ref="Q51" si="178">ABS(Q15-AK15)</f>
        <v>2.64161563734433E-5</v>
      </c>
      <c r="R51" s="53">
        <f t="shared" ref="R51" si="179">ABS(R15-AL15)</f>
        <v>4.9615369988487146E-5</v>
      </c>
      <c r="S51" s="53">
        <f t="shared" ref="S51:T51" si="180">ABS(S15-AM15)</f>
        <v>2.1157696153295547E-5</v>
      </c>
      <c r="T51" s="53">
        <f t="shared" si="180"/>
        <v>1.8077583376907569E-5</v>
      </c>
      <c r="U51" s="53">
        <f t="shared" ref="U51" si="181">ABS(U15-AO15)</f>
        <v>4.9149875508192054E-5</v>
      </c>
      <c r="V51" s="53">
        <f t="shared" ref="V51" si="182">ABS(V15-AP15)</f>
        <v>3.906871924641564E-5</v>
      </c>
      <c r="W51" s="53">
        <f t="shared" ref="W51" si="183">ABS(W15-AQ15)</f>
        <v>2.3433497972291661E-5</v>
      </c>
      <c r="X51" s="53">
        <f t="shared" ref="X51" si="184">ABS(X15-AR15)</f>
        <v>4.3557628714552266E-5</v>
      </c>
      <c r="Y51" s="53">
        <f t="shared" ref="Y51" si="185">ABS(Y15-AS15)</f>
        <v>4.8666576077494028E-5</v>
      </c>
      <c r="Z51" s="53">
        <f t="shared" ref="Z51" si="186">ABS(Z15-AT15)</f>
        <v>1.5084102926721243E-5</v>
      </c>
      <c r="AA51" s="53">
        <f t="shared" ref="AA51" si="187">ABS(AA15-AU15)</f>
        <v>2.1005936190476859E-5</v>
      </c>
      <c r="AB51" s="53">
        <f t="shared" ref="AB51" si="188">ABS(AB15-AV15)</f>
        <v>1.1713495311482802E-5</v>
      </c>
      <c r="AD51" s="63" t="s">
        <v>168</v>
      </c>
      <c r="AE51">
        <f>LN(AE49/AE45)/AE47-AE47/2</f>
        <v>-1.660494335962253</v>
      </c>
    </row>
    <row r="52" spans="1:31" ht="18" x14ac:dyDescent="0.4">
      <c r="A52" s="1"/>
      <c r="B52" s="1"/>
      <c r="C52" s="1"/>
      <c r="D52" s="1"/>
      <c r="E52" s="1"/>
      <c r="F52" s="1"/>
      <c r="G52" s="1"/>
      <c r="H52" s="1"/>
      <c r="I52" s="1"/>
      <c r="J52" s="53">
        <f t="shared" ref="J52" si="189">IF(ABS(J16*100-AD16)&lt;0.01,0,ABS(J16*100-AD16))</f>
        <v>0</v>
      </c>
      <c r="K52" s="53">
        <f t="shared" ref="K52" si="190">IF(ABS(K16*100-AE16)&lt;0.01,0,ABS(K16*100-AE16))</f>
        <v>0</v>
      </c>
      <c r="L52" s="53">
        <f t="shared" ref="L52" si="191">IF(ABS(L16*100-AF16)&lt;0.01,0,ABS(L16*100-AF16))</f>
        <v>0</v>
      </c>
      <c r="M52" s="53">
        <f t="shared" ref="M52" si="192">IF(ABS(M16*100-AG16)&lt;0.01,0,ABS(M16*100-AG16))</f>
        <v>0</v>
      </c>
      <c r="N52" s="53">
        <f t="shared" ref="N52" si="193">IF(ABS(N16*100-AH16)&lt;0.01,0,ABS(N16*100-AH16))</f>
        <v>0</v>
      </c>
      <c r="O52" s="53">
        <f t="shared" ref="O52" si="194">IF(ABS(O16*100-AI16)&lt;0.01,0,ABS(O16*100-AI16))</f>
        <v>0</v>
      </c>
      <c r="P52" s="53">
        <f t="shared" ref="P52" si="195">IF(ABS(P16*100-AJ16)&lt;0.01,0,ABS(P16*100-AJ16))</f>
        <v>0</v>
      </c>
      <c r="Q52" s="53">
        <f t="shared" ref="Q52" si="196">IF(ABS(Q16*100-AK16)&lt;0.01,0,ABS(Q16*100-AK16))</f>
        <v>0</v>
      </c>
      <c r="R52" s="53">
        <f t="shared" ref="R52" si="197">IF(ABS(R16*100-AL16)&lt;0.01,0,ABS(R16*100-AL16))</f>
        <v>0</v>
      </c>
      <c r="S52" s="53">
        <f t="shared" ref="S52" si="198">IF(ABS(S16*100-AM16)&lt;0.01,0,ABS(S16*100-AM16))</f>
        <v>0</v>
      </c>
      <c r="T52" s="53">
        <f t="shared" ref="T52" si="199">IF(ABS(T16*100-AN16)&lt;0.01,0,ABS(T16*100-AN16))</f>
        <v>0</v>
      </c>
      <c r="U52" s="53">
        <f t="shared" ref="U52" si="200">IF(ABS(U16*100-AO16)&lt;0.01,0,ABS(U16*100-AO16))</f>
        <v>0</v>
      </c>
      <c r="V52" s="53">
        <f t="shared" ref="V52" si="201">IF(ABS(V16*100-AP16)&lt;0.01,0,ABS(V16*100-AP16))</f>
        <v>0</v>
      </c>
      <c r="W52" s="53">
        <f t="shared" ref="W52" si="202">IF(ABS(W16*100-AQ16)&lt;0.01,0,ABS(W16*100-AQ16))</f>
        <v>0</v>
      </c>
      <c r="X52" s="53">
        <f t="shared" ref="X52" si="203">IF(ABS(X16*100-AR16)&lt;0.01,0,ABS(X16*100-AR16))</f>
        <v>0</v>
      </c>
      <c r="Y52" s="53">
        <f t="shared" ref="Y52" si="204">IF(ABS(Y16*100-AS16)&lt;0.01,0,ABS(Y16*100-AS16))</f>
        <v>0</v>
      </c>
      <c r="Z52" s="53">
        <f t="shared" ref="Z52" si="205">IF(ABS(Z16*100-AT16)&lt;0.01,0,ABS(Z16*100-AT16))</f>
        <v>0</v>
      </c>
      <c r="AA52" s="53">
        <f t="shared" ref="AA52" si="206">IF(ABS(AA16*100-AU16)&lt;0.01,0,ABS(AA16*100-AU16))</f>
        <v>0</v>
      </c>
      <c r="AB52" s="53">
        <f t="shared" ref="AB52" si="207">IF(ABS(AB16*100-AV16)&lt;0.01,0,ABS(AB16*100-AV16))</f>
        <v>0</v>
      </c>
      <c r="AD52" s="63" t="s">
        <v>165</v>
      </c>
      <c r="AE52">
        <f>_xlfn.NORM.S.DIST(AE50,TRUE)</f>
        <v>5.0447862867932035E-2</v>
      </c>
    </row>
    <row r="53" spans="1:31" ht="18" x14ac:dyDescent="0.4">
      <c r="A53" s="1"/>
      <c r="B53" s="1"/>
      <c r="C53" s="1"/>
      <c r="D53" s="1"/>
      <c r="E53" s="1"/>
      <c r="F53" s="1"/>
      <c r="G53" s="1"/>
      <c r="H53" s="1"/>
      <c r="I53" s="1"/>
      <c r="J53" s="53">
        <f t="shared" ref="J53" si="208">ABS(J17*100-AD17)</f>
        <v>1.7645852388170624E-6</v>
      </c>
      <c r="K53" s="53">
        <f t="shared" ref="K53" si="209">ABS(K17*100-AE17)</f>
        <v>1.4210854715202004E-14</v>
      </c>
      <c r="L53" s="53">
        <f t="shared" ref="L53" si="210">ABS(L17*100-AF17)</f>
        <v>5.3055007018798506E-6</v>
      </c>
      <c r="M53" s="53">
        <f t="shared" ref="M53" si="211">ABS(M17*100-AG17)</f>
        <v>1.5783543879877016E-5</v>
      </c>
      <c r="N53" s="53">
        <f t="shared" ref="N53" si="212">ABS(N17*100-AH17)</f>
        <v>1.7763568394002505E-15</v>
      </c>
      <c r="O53" s="53">
        <f t="shared" ref="O53" si="213">ABS(O17*100-AI17)</f>
        <v>2.2153967268678798E-5</v>
      </c>
      <c r="P53" s="53">
        <f t="shared" ref="P53" si="214">ABS(P17*100-AJ17)</f>
        <v>9.1354480495908774E-6</v>
      </c>
      <c r="Q53" s="53">
        <f t="shared" ref="Q53" si="215">ABS(Q17*100-AK17)</f>
        <v>3.1396783334969314E-5</v>
      </c>
      <c r="R53" s="53">
        <f t="shared" ref="R53" si="216">ABS(R17*100-AL17)</f>
        <v>3.1898019249965159E-5</v>
      </c>
      <c r="S53" s="53">
        <f t="shared" ref="S53" si="217">ABS(S17*100-AM17)</f>
        <v>0</v>
      </c>
      <c r="T53" s="53">
        <f t="shared" ref="T53" si="218">ABS(T17*100-AN17)</f>
        <v>5.9971837202965617E-6</v>
      </c>
      <c r="U53" s="53">
        <f t="shared" ref="U53" si="219">ABS(U17*100-AO17)</f>
        <v>2.7745599437523083E-5</v>
      </c>
      <c r="V53" s="53">
        <f t="shared" ref="V53" si="220">ABS(V17*100-AP17)</f>
        <v>1.0514699386732218E-5</v>
      </c>
      <c r="W53" s="53">
        <f t="shared" ref="W53" si="221">ABS(W17*100-AQ17)</f>
        <v>3.2981647413166115E-5</v>
      </c>
      <c r="X53" s="53">
        <f t="shared" ref="X53" si="222">ABS(X17*100-AR17)</f>
        <v>0</v>
      </c>
      <c r="Y53" s="53">
        <f t="shared" ref="Y53" si="223">ABS(Y17*100-AS17)</f>
        <v>2.1762455315155194E-5</v>
      </c>
      <c r="Z53" s="53">
        <f t="shared" ref="Z53" si="224">ABS(Z17*100-AT17)</f>
        <v>3.9118772342305874E-5</v>
      </c>
      <c r="AA53" s="53">
        <f t="shared" ref="AA53" si="225">ABS(AA17*100-AU17)</f>
        <v>1.7763568394002505E-15</v>
      </c>
      <c r="AB53" s="53">
        <f t="shared" ref="AB53" si="226">ABS(AB17*100-AV17)</f>
        <v>1.7763568394002505E-15</v>
      </c>
      <c r="AD53" s="63" t="s">
        <v>166</v>
      </c>
      <c r="AE53">
        <f>_xlfn.NORM.S.DIST(AE51,TRUE)</f>
        <v>4.8407523205419224E-2</v>
      </c>
    </row>
    <row r="54" spans="1:31" ht="18" x14ac:dyDescent="0.4">
      <c r="A54" s="1"/>
      <c r="B54" s="1"/>
      <c r="C54" s="1"/>
      <c r="D54" s="1"/>
      <c r="E54" s="1"/>
      <c r="F54" s="1"/>
      <c r="G54" s="1"/>
      <c r="H54" s="1"/>
      <c r="I54" s="1"/>
      <c r="J54" s="53">
        <f t="shared" ref="J54" si="227">ABS(J18-AD18)</f>
        <v>1.8932198514676202E-5</v>
      </c>
      <c r="K54" s="53">
        <f t="shared" ref="K54" si="228">ABS(K18-AE18)</f>
        <v>3.7239070167061072E-5</v>
      </c>
      <c r="L54" s="53">
        <f t="shared" ref="L54" si="229">ABS(L18-AF18)</f>
        <v>2.2981823349255137E-5</v>
      </c>
      <c r="M54" s="53">
        <f t="shared" ref="M54" si="230">ABS(M18-AG18)</f>
        <v>3.3460884793612422E-5</v>
      </c>
      <c r="N54" s="53">
        <f t="shared" ref="N54" si="231">ABS(N18-AH18)</f>
        <v>3.1917806012415895E-5</v>
      </c>
      <c r="O54" s="53">
        <f t="shared" ref="O54" si="232">ABS(O18-AI18)</f>
        <v>6.9183629136659874E-6</v>
      </c>
      <c r="P54" s="53">
        <f t="shared" ref="P54" si="233">ABS(P18-AJ18)</f>
        <v>2.7999356433383582E-5</v>
      </c>
      <c r="Q54" s="53">
        <f t="shared" ref="Q54" si="234">ABS(Q18-AK18)</f>
        <v>2.8739052282844568E-5</v>
      </c>
      <c r="R54" s="53">
        <f t="shared" ref="R54" si="235">ABS(R18-AL18)</f>
        <v>1.8672225138516296E-5</v>
      </c>
      <c r="S54" s="53">
        <f t="shared" ref="S54:T54" si="236">ABS(S18-AM18)</f>
        <v>3.0304043207252107E-5</v>
      </c>
      <c r="T54" s="53">
        <f t="shared" si="236"/>
        <v>4.9728846960306328E-5</v>
      </c>
      <c r="U54" s="53">
        <f t="shared" ref="U54" si="237">ABS(U18-AO18)</f>
        <v>4.7900491068730844E-5</v>
      </c>
      <c r="V54" s="53">
        <f t="shared" ref="V54" si="238">ABS(V18-AP18)</f>
        <v>1.5573515895539458E-5</v>
      </c>
      <c r="W54" s="53">
        <f t="shared" ref="W54" si="239">ABS(W18-AQ18)</f>
        <v>1.5421157314676748E-5</v>
      </c>
      <c r="X54" s="53">
        <f t="shared" ref="X54" si="240">ABS(X18-AR18)</f>
        <v>3.2261331739391608E-6</v>
      </c>
      <c r="Y54" s="53">
        <f t="shared" ref="Y54" si="241">ABS(Y18-AS18)</f>
        <v>5.3696835493610706E-6</v>
      </c>
      <c r="Z54" s="53">
        <f t="shared" ref="Z54" si="242">ABS(Z18-AT18)</f>
        <v>1.6428174021143604E-5</v>
      </c>
      <c r="AA54" s="53">
        <f t="shared" ref="AA54" si="243">ABS(AA18-AU18)</f>
        <v>2.3041570699433578E-5</v>
      </c>
      <c r="AB54" s="53">
        <f t="shared" ref="AB54" si="244">ABS(AB18-AV18)</f>
        <v>1.8515831655463444E-5</v>
      </c>
      <c r="AD54" s="63" t="s">
        <v>171</v>
      </c>
      <c r="AE54">
        <f>EXP(-AE41*AE40)</f>
        <v>1.0000919876637298</v>
      </c>
    </row>
    <row r="55" spans="1:31" ht="18" x14ac:dyDescent="0.4">
      <c r="A55" s="1"/>
      <c r="B55" s="1"/>
      <c r="C55" s="1"/>
      <c r="D55" s="1"/>
      <c r="E55" s="1"/>
      <c r="F55" s="1"/>
      <c r="G55" s="1"/>
      <c r="H55" s="1"/>
      <c r="I55" s="1"/>
      <c r="J55" s="53">
        <f t="shared" ref="J55" si="245">IF(ABS(J19*100-AD19)&lt;0.01,0,ABS(J19*100-AD19))</f>
        <v>0</v>
      </c>
      <c r="K55" s="53">
        <f t="shared" ref="K55" si="246">IF(ABS(K19*100-AE19)&lt;0.01,0,ABS(K19*100-AE19))</f>
        <v>0</v>
      </c>
      <c r="L55" s="53">
        <f t="shared" ref="L55" si="247">IF(ABS(L19*100-AF19)&lt;0.01,0,ABS(L19*100-AF19))</f>
        <v>0</v>
      </c>
      <c r="M55" s="53">
        <f t="shared" ref="M55" si="248">IF(ABS(M19*100-AG19)&lt;0.01,0,ABS(M19*100-AG19))</f>
        <v>0</v>
      </c>
      <c r="N55" s="53">
        <f t="shared" ref="N55" si="249">IF(ABS(N19*100-AH19)&lt;0.01,0,ABS(N19*100-AH19))</f>
        <v>0</v>
      </c>
      <c r="O55" s="53">
        <f t="shared" ref="O55" si="250">IF(ABS(O19*100-AI19)&lt;0.01,0,ABS(O19*100-AI19))</f>
        <v>0</v>
      </c>
      <c r="P55" s="53">
        <f t="shared" ref="P55" si="251">IF(ABS(P19*100-AJ19)&lt;0.01,0,ABS(P19*100-AJ19))</f>
        <v>0</v>
      </c>
      <c r="Q55" s="53">
        <f t="shared" ref="Q55" si="252">IF(ABS(Q19*100-AK19)&lt;0.01,0,ABS(Q19*100-AK19))</f>
        <v>0</v>
      </c>
      <c r="R55" s="53">
        <f t="shared" ref="R55" si="253">IF(ABS(R19*100-AL19)&lt;0.01,0,ABS(R19*100-AL19))</f>
        <v>0</v>
      </c>
      <c r="S55" s="53">
        <f t="shared" ref="S55" si="254">IF(ABS(S19*100-AM19)&lt;0.01,0,ABS(S19*100-AM19))</f>
        <v>0</v>
      </c>
      <c r="T55" s="53">
        <f t="shared" ref="T55" si="255">IF(ABS(T19*100-AN19)&lt;0.01,0,ABS(T19*100-AN19))</f>
        <v>0</v>
      </c>
      <c r="U55" s="53">
        <f t="shared" ref="U55" si="256">IF(ABS(U19*100-AO19)&lt;0.01,0,ABS(U19*100-AO19))</f>
        <v>0</v>
      </c>
      <c r="V55" s="53">
        <f t="shared" ref="V55" si="257">IF(ABS(V19*100-AP19)&lt;0.01,0,ABS(V19*100-AP19))</f>
        <v>0</v>
      </c>
      <c r="W55" s="53">
        <f t="shared" ref="W55" si="258">IF(ABS(W19*100-AQ19)&lt;0.01,0,ABS(W19*100-AQ19))</f>
        <v>0</v>
      </c>
      <c r="X55" s="53">
        <f t="shared" ref="X55" si="259">IF(ABS(X19*100-AR19)&lt;0.01,0,ABS(X19*100-AR19))</f>
        <v>0</v>
      </c>
      <c r="Y55" s="53">
        <f t="shared" ref="Y55" si="260">IF(ABS(Y19*100-AS19)&lt;0.01,0,ABS(Y19*100-AS19))</f>
        <v>0</v>
      </c>
      <c r="Z55" s="53">
        <f t="shared" ref="Z55" si="261">IF(ABS(Z19*100-AT19)&lt;0.01,0,ABS(Z19*100-AT19))</f>
        <v>0</v>
      </c>
      <c r="AA55" s="53">
        <f t="shared" ref="AA55" si="262">IF(ABS(AA19*100-AU19)&lt;0.01,0,ABS(AA19*100-AU19))</f>
        <v>0</v>
      </c>
      <c r="AB55" s="53">
        <f t="shared" ref="AB55" si="263">IF(ABS(AB19*100-AV19)&lt;0.01,0,ABS(AB19*100-AV19))</f>
        <v>0</v>
      </c>
      <c r="AD55" s="63"/>
    </row>
    <row r="56" spans="1:31" ht="18" x14ac:dyDescent="0.4">
      <c r="A56" s="1"/>
      <c r="B56" s="1"/>
      <c r="C56" s="1"/>
      <c r="D56" s="1"/>
      <c r="E56" s="1"/>
      <c r="F56" s="1"/>
      <c r="G56" s="1"/>
      <c r="H56" s="1"/>
      <c r="I56" s="1"/>
      <c r="J56" s="53">
        <f t="shared" ref="J56" si="264">ABS(J20*100-AD20)</f>
        <v>2.8265254350401392E-6</v>
      </c>
      <c r="K56" s="53">
        <f t="shared" ref="K56" si="265">ABS(K20*100-AE20)</f>
        <v>5.3290705182007514E-14</v>
      </c>
      <c r="L56" s="53">
        <f t="shared" ref="L56" si="266">ABS(L20*100-AF20)</f>
        <v>3.6924835184137805E-5</v>
      </c>
      <c r="M56" s="53">
        <f t="shared" ref="M56" si="267">ABS(M20*100-AG20)</f>
        <v>2.6914539715150454E-5</v>
      </c>
      <c r="N56" s="53">
        <f t="shared" ref="N56" si="268">ABS(N20*100-AH20)</f>
        <v>2.1316282072803006E-14</v>
      </c>
      <c r="O56" s="53">
        <f t="shared" ref="O56" si="269">ABS(O20*100-AI20)</f>
        <v>4.0992362272618266E-5</v>
      </c>
      <c r="P56" s="53">
        <f t="shared" ref="P56" si="270">ABS(P20*100-AJ20)</f>
        <v>4.7358158816734885E-7</v>
      </c>
      <c r="Q56" s="53">
        <f t="shared" ref="Q56" si="271">ABS(Q20*100-AK20)</f>
        <v>3.6503021412670478E-5</v>
      </c>
      <c r="R56" s="53">
        <f t="shared" ref="R56" si="272">ABS(R20*100-AL20)</f>
        <v>3.5626084788020762E-5</v>
      </c>
      <c r="S56" s="53">
        <f t="shared" ref="S56" si="273">ABS(S20*100-AM20)</f>
        <v>0</v>
      </c>
      <c r="T56" s="53">
        <f t="shared" ref="T56" si="274">ABS(T20*100-AN20)</f>
        <v>3.1351401993617856E-5</v>
      </c>
      <c r="U56" s="53">
        <f t="shared" ref="U56" si="275">ABS(U20*100-AO20)</f>
        <v>4.6357652045969644E-6</v>
      </c>
      <c r="V56" s="53">
        <f t="shared" ref="V56" si="276">ABS(V20*100-AP20)</f>
        <v>1.4507310908129512E-9</v>
      </c>
      <c r="W56" s="53">
        <f t="shared" ref="W56" si="277">ABS(W20*100-AQ20)</f>
        <v>3.7528560390853727E-5</v>
      </c>
      <c r="X56" s="53">
        <f t="shared" ref="X56" si="278">ABS(X20*100-AR20)</f>
        <v>1.7763568394002505E-15</v>
      </c>
      <c r="Y56" s="53">
        <f t="shared" ref="Y56" si="279">ABS(Y20*100-AS20)</f>
        <v>3.5909078587081922E-5</v>
      </c>
      <c r="Z56" s="53">
        <f t="shared" ref="Z56" si="280">ABS(Z20*100-AT20)</f>
        <v>1.7954539295317318E-5</v>
      </c>
      <c r="AA56" s="53">
        <f t="shared" ref="AA56" si="281">ABS(AA20*100-AU20)</f>
        <v>3.5527136788005009E-15</v>
      </c>
      <c r="AB56" s="53">
        <f t="shared" ref="AB56" si="282">ABS(AB20*100-AV20)</f>
        <v>3.3333333329110815E-5</v>
      </c>
      <c r="AD56" s="63" t="s">
        <v>164</v>
      </c>
      <c r="AE56">
        <f>AE54*(AE49*AE52-AE45*AE53)</f>
        <v>6.0142059486159076E-2</v>
      </c>
    </row>
    <row r="57" spans="1:31" ht="18" x14ac:dyDescent="0.4">
      <c r="A57" s="1"/>
      <c r="B57" s="1"/>
      <c r="C57" s="1"/>
      <c r="D57" s="1"/>
      <c r="E57" s="1"/>
      <c r="F57" s="1"/>
      <c r="G57" s="1"/>
      <c r="H57" s="1"/>
      <c r="I57" s="1"/>
      <c r="J57" s="53">
        <f t="shared" ref="J57" si="283">ABS(J21-AD21)</f>
        <v>5.046201636105252E-5</v>
      </c>
      <c r="K57" s="53">
        <f t="shared" ref="K57" si="284">ABS(K21-AE21)</f>
        <v>9.0945504211958905E-6</v>
      </c>
      <c r="L57" s="53">
        <f t="shared" ref="L57" si="285">ABS(L21-AF21)</f>
        <v>3.3094810788725226E-5</v>
      </c>
      <c r="M57" s="53">
        <f t="shared" ref="M57" si="286">ABS(M21-AG21)</f>
        <v>2.7689622982052242E-5</v>
      </c>
      <c r="N57" s="53">
        <f t="shared" ref="N57" si="287">ABS(N21-AH21)</f>
        <v>4.138263986419588E-5</v>
      </c>
      <c r="O57" s="53">
        <f t="shared" ref="O57" si="288">ABS(O21-AI21)</f>
        <v>3.2518779107704177E-5</v>
      </c>
      <c r="P57" s="53">
        <f t="shared" ref="P57" si="289">ABS(P21-AJ21)</f>
        <v>8.3828419121800835E-6</v>
      </c>
      <c r="Q57" s="53">
        <f t="shared" ref="Q57" si="290">ABS(Q21-AK21)</f>
        <v>4.3825518872608882E-5</v>
      </c>
      <c r="R57" s="53">
        <f t="shared" ref="R57" si="291">ABS(R21-AL21)</f>
        <v>3.584293929748128E-5</v>
      </c>
      <c r="S57" s="53">
        <f t="shared" ref="S57:T57" si="292">ABS(S21-AM21)</f>
        <v>1.9635638153658874E-5</v>
      </c>
      <c r="T57" s="53">
        <f t="shared" si="292"/>
        <v>1.999213424141999E-5</v>
      </c>
      <c r="U57" s="53">
        <f t="shared" ref="U57" si="293">ABS(U21-AO21)</f>
        <v>6.4300941460260219E-6</v>
      </c>
      <c r="V57" s="53">
        <f t="shared" ref="V57" si="294">ABS(V21-AP21)</f>
        <v>3.7194281219399272E-5</v>
      </c>
      <c r="W57" s="53">
        <f t="shared" ref="W57" si="295">ABS(W21-AQ21)</f>
        <v>6.9696975515398663E-6</v>
      </c>
      <c r="X57" s="53">
        <f t="shared" ref="X57" si="296">ABS(X21-AR21)</f>
        <v>4.2058453885829294E-5</v>
      </c>
      <c r="Y57" s="53">
        <f t="shared" ref="Y57" si="297">ABS(Y21-AS21)</f>
        <v>1.4824231470811355E-5</v>
      </c>
      <c r="Z57" s="53">
        <f t="shared" ref="Z57" si="298">ABS(Z21-AT21)</f>
        <v>4.6182292123830848E-6</v>
      </c>
      <c r="AA57" s="53">
        <f t="shared" ref="AA57" si="299">ABS(AA21-AU21)</f>
        <v>7.4250297501521345E-6</v>
      </c>
      <c r="AB57" s="53">
        <f t="shared" ref="AB57" si="300">ABS(AB21-AV21)</f>
        <v>9.7101772240648643E-6</v>
      </c>
      <c r="AD57" s="63"/>
    </row>
    <row r="58" spans="1:31" ht="18" x14ac:dyDescent="0.4">
      <c r="A58" s="1"/>
      <c r="B58" s="1"/>
      <c r="C58" s="1"/>
      <c r="D58" s="1"/>
      <c r="E58" s="1"/>
      <c r="F58" s="1"/>
      <c r="G58" s="1"/>
      <c r="H58" s="1"/>
      <c r="I58" s="1"/>
      <c r="J58" s="53">
        <f t="shared" ref="J58" si="301">IF(ABS(J22*100-AD22)&lt;0.01,0,ABS(J22*100-AD22))</f>
        <v>0</v>
      </c>
      <c r="K58" s="53">
        <f t="shared" ref="K58" si="302">IF(ABS(K22*100-AE22)&lt;0.01,0,ABS(K22*100-AE22))</f>
        <v>0</v>
      </c>
      <c r="L58" s="53">
        <f t="shared" ref="L58" si="303">IF(ABS(L22*100-AF22)&lt;0.01,0,ABS(L22*100-AF22))</f>
        <v>0</v>
      </c>
      <c r="M58" s="53">
        <f t="shared" ref="M58" si="304">IF(ABS(M22*100-AG22)&lt;0.01,0,ABS(M22*100-AG22))</f>
        <v>0</v>
      </c>
      <c r="N58" s="53">
        <f t="shared" ref="N58" si="305">IF(ABS(N22*100-AH22)&lt;0.01,0,ABS(N22*100-AH22))</f>
        <v>0</v>
      </c>
      <c r="O58" s="53">
        <f t="shared" ref="O58" si="306">IF(ABS(O22*100-AI22)&lt;0.01,0,ABS(O22*100-AI22))</f>
        <v>0</v>
      </c>
      <c r="P58" s="53">
        <f t="shared" ref="P58" si="307">IF(ABS(P22*100-AJ22)&lt;0.01,0,ABS(P22*100-AJ22))</f>
        <v>0</v>
      </c>
      <c r="Q58" s="53">
        <f t="shared" ref="Q58" si="308">IF(ABS(Q22*100-AK22)&lt;0.01,0,ABS(Q22*100-AK22))</f>
        <v>0</v>
      </c>
      <c r="R58" s="53">
        <f t="shared" ref="R58" si="309">IF(ABS(R22*100-AL22)&lt;0.01,0,ABS(R22*100-AL22))</f>
        <v>0</v>
      </c>
      <c r="S58" s="53">
        <f t="shared" ref="S58" si="310">IF(ABS(S22*100-AM22)&lt;0.01,0,ABS(S22*100-AM22))</f>
        <v>0</v>
      </c>
      <c r="T58" s="53">
        <f t="shared" ref="T58" si="311">IF(ABS(T22*100-AN22)&lt;0.01,0,ABS(T22*100-AN22))</f>
        <v>0</v>
      </c>
      <c r="U58" s="53">
        <f t="shared" ref="U58" si="312">IF(ABS(U22*100-AO22)&lt;0.01,0,ABS(U22*100-AO22))</f>
        <v>0</v>
      </c>
      <c r="V58" s="53">
        <f t="shared" ref="V58" si="313">IF(ABS(V22*100-AP22)&lt;0.01,0,ABS(V22*100-AP22))</f>
        <v>0</v>
      </c>
      <c r="W58" s="53">
        <f t="shared" ref="W58" si="314">IF(ABS(W22*100-AQ22)&lt;0.01,0,ABS(W22*100-AQ22))</f>
        <v>0</v>
      </c>
      <c r="X58" s="53">
        <f t="shared" ref="X58" si="315">IF(ABS(X22*100-AR22)&lt;0.01,0,ABS(X22*100-AR22))</f>
        <v>0</v>
      </c>
      <c r="Y58" s="53">
        <f t="shared" ref="Y58" si="316">IF(ABS(Y22*100-AS22)&lt;0.01,0,ABS(Y22*100-AS22))</f>
        <v>0</v>
      </c>
      <c r="Z58" s="53">
        <f t="shared" ref="Z58" si="317">IF(ABS(Z22*100-AT22)&lt;0.01,0,ABS(Z22*100-AT22))</f>
        <v>0</v>
      </c>
      <c r="AA58" s="53">
        <f t="shared" ref="AA58" si="318">IF(ABS(AA22*100-AU22)&lt;0.01,0,ABS(AA22*100-AU22))</f>
        <v>0</v>
      </c>
      <c r="AB58" s="53">
        <f t="shared" ref="AB58" si="319">IF(ABS(AB22*100-AV22)&lt;0.01,0,ABS(AB22*100-AV22))</f>
        <v>0</v>
      </c>
      <c r="AD58" s="63"/>
    </row>
    <row r="59" spans="1:31" ht="18" x14ac:dyDescent="0.4">
      <c r="A59" s="1"/>
      <c r="B59" s="1"/>
      <c r="C59" s="1"/>
      <c r="D59" s="1"/>
      <c r="E59" s="1"/>
      <c r="F59" s="1"/>
      <c r="G59" s="1"/>
      <c r="H59" s="1"/>
      <c r="I59" s="1"/>
      <c r="J59" s="53">
        <f t="shared" ref="J59" si="320">ABS(J23*100-AD23)</f>
        <v>4.6774940962279743E-5</v>
      </c>
      <c r="K59" s="53">
        <f t="shared" ref="K59" si="321">ABS(K23*100-AE23)</f>
        <v>4.6185277824406512E-14</v>
      </c>
      <c r="L59" s="53">
        <f t="shared" ref="L59" si="322">ABS(L23*100-AF23)</f>
        <v>1.1465837953750224E-5</v>
      </c>
      <c r="M59" s="53">
        <f t="shared" ref="M59" si="323">ABS(M23*100-AG23)</f>
        <v>3.5272729357771482E-5</v>
      </c>
      <c r="N59" s="53">
        <f t="shared" ref="N59" si="324">ABS(N23*100-AH23)</f>
        <v>1.0480505352461478E-13</v>
      </c>
      <c r="O59" s="53">
        <f t="shared" ref="O59" si="325">ABS(O23*100-AI23)</f>
        <v>3.2146696801405028E-5</v>
      </c>
      <c r="P59" s="53">
        <f t="shared" ref="P59" si="326">ABS(P23*100-AJ23)</f>
        <v>4.6953633487945012E-5</v>
      </c>
      <c r="Q59" s="53">
        <f t="shared" ref="Q59" si="327">ABS(Q23*100-AK23)</f>
        <v>3.9265377001385104E-5</v>
      </c>
      <c r="R59" s="53">
        <f t="shared" ref="R59" si="328">ABS(R23*100-AL23)</f>
        <v>2.0817875743261993E-5</v>
      </c>
      <c r="S59" s="53">
        <f t="shared" ref="S59" si="329">ABS(S23*100-AM23)</f>
        <v>0</v>
      </c>
      <c r="T59" s="53">
        <f t="shared" ref="T59" si="330">ABS(T23*100-AN23)</f>
        <v>2.0294891498906509E-5</v>
      </c>
      <c r="U59" s="53">
        <f t="shared" ref="U59" si="331">ABS(U23*100-AO23)</f>
        <v>3.94617363674854E-5</v>
      </c>
      <c r="V59" s="53">
        <f t="shared" ref="V59" si="332">ABS(V23*100-AP23)</f>
        <v>1.8899774811842462E-6</v>
      </c>
      <c r="W59" s="53">
        <f t="shared" ref="W59" si="333">ABS(W23*100-AQ23)</f>
        <v>3.7222979711870607E-5</v>
      </c>
      <c r="X59" s="53">
        <f t="shared" ref="X59" si="334">ABS(X23*100-AR23)</f>
        <v>0</v>
      </c>
      <c r="Y59" s="53">
        <f t="shared" ref="Y59" si="335">ABS(Y23*100-AS23)</f>
        <v>1.3031084090897593E-5</v>
      </c>
      <c r="Z59" s="53">
        <f t="shared" ref="Z59" si="336">ABS(Z23*100-AT23)</f>
        <v>4.3484457954434674E-5</v>
      </c>
      <c r="AA59" s="53">
        <f t="shared" ref="AA59" si="337">ABS(AA23*100-AU23)</f>
        <v>1.7763568394002505E-15</v>
      </c>
      <c r="AB59" s="53">
        <f t="shared" ref="AB59" si="338">ABS(AB23*100-AV23)</f>
        <v>0</v>
      </c>
      <c r="AD59" s="63"/>
    </row>
    <row r="60" spans="1:31" ht="18" x14ac:dyDescent="0.4">
      <c r="A60" s="1"/>
      <c r="B60" s="1"/>
      <c r="C60" s="1"/>
      <c r="D60" s="1"/>
      <c r="E60" s="1"/>
      <c r="F60" s="1"/>
      <c r="G60" s="1"/>
      <c r="H60" s="1"/>
      <c r="I60" s="1"/>
      <c r="J60" s="53">
        <f t="shared" ref="J60" si="339">ABS(J24-AD24)</f>
        <v>4.6499046931103294E-5</v>
      </c>
      <c r="K60" s="53">
        <f t="shared" ref="K60" si="340">ABS(K24-AE24)</f>
        <v>3.3260540590163146E-5</v>
      </c>
      <c r="L60" s="53">
        <f t="shared" ref="L60" si="341">ABS(L24-AF24)</f>
        <v>2.409120679658372E-5</v>
      </c>
      <c r="M60" s="53">
        <f t="shared" ref="M60" si="342">ABS(M24-AG24)</f>
        <v>1.4840753181033506E-5</v>
      </c>
      <c r="N60" s="53">
        <f t="shared" ref="N60" si="343">ABS(N24-AH24)</f>
        <v>2.3570969915454043E-5</v>
      </c>
      <c r="O60" s="53">
        <f t="shared" ref="O60" si="344">ABS(O24-AI24)</f>
        <v>1.3314174736933637E-5</v>
      </c>
      <c r="P60" s="53">
        <f t="shared" ref="P60" si="345">ABS(P24-AJ24)</f>
        <v>3.2524701509828446E-6</v>
      </c>
      <c r="Q60" s="53">
        <f t="shared" ref="Q60" si="346">ABS(Q24-AK24)</f>
        <v>2.4710079543410757E-5</v>
      </c>
      <c r="R60" s="53">
        <f t="shared" ref="R60" si="347">ABS(R24-AL24)</f>
        <v>4.2616328215672183E-5</v>
      </c>
      <c r="S60" s="53">
        <f t="shared" ref="S60:T60" si="348">ABS(S24-AM24)</f>
        <v>7.2902925012385822E-6</v>
      </c>
      <c r="T60" s="53">
        <f t="shared" si="348"/>
        <v>4.0198582468065069E-5</v>
      </c>
      <c r="U60" s="53">
        <f t="shared" ref="U60" si="349">ABS(U24-AO24)</f>
        <v>1.1785215747295297E-5</v>
      </c>
      <c r="V60" s="53">
        <f t="shared" ref="V60" si="350">ABS(V24-AP24)</f>
        <v>4.3122262241013232E-5</v>
      </c>
      <c r="W60" s="53">
        <f t="shared" ref="W60" si="351">ABS(W24-AQ24)</f>
        <v>1.9468688719825877E-5</v>
      </c>
      <c r="X60" s="53">
        <f t="shared" ref="X60" si="352">ABS(X24-AR24)</f>
        <v>2.366161331224248E-5</v>
      </c>
      <c r="Y60" s="53">
        <f t="shared" ref="Y60" si="353">ABS(Y24-AS24)</f>
        <v>4.913136700679388E-5</v>
      </c>
      <c r="Z60" s="53">
        <f t="shared" ref="Z60" si="354">ABS(Z24-AT24)</f>
        <v>4.4027154032733051E-5</v>
      </c>
      <c r="AA60" s="53">
        <f t="shared" ref="AA60" si="355">ABS(AA24-AU24)</f>
        <v>3.0523951082273015E-5</v>
      </c>
      <c r="AB60" s="53">
        <f t="shared" ref="AB60" si="356">ABS(AB24-AV24)</f>
        <v>3.0081673841664269E-5</v>
      </c>
      <c r="AD60" s="63"/>
    </row>
    <row r="61" spans="1:31" ht="18" x14ac:dyDescent="0.4">
      <c r="A61" s="1"/>
      <c r="B61" s="1"/>
      <c r="C61" s="1"/>
      <c r="D61" s="1"/>
      <c r="E61" s="1"/>
      <c r="F61" s="1"/>
      <c r="G61" s="1"/>
      <c r="H61" s="1"/>
      <c r="J61" s="53">
        <f t="shared" ref="J61" si="357">IF(ABS(J25*100-AD25)&lt;0.01,0,ABS(J25*100-AD25))</f>
        <v>0</v>
      </c>
      <c r="K61" s="53">
        <f t="shared" ref="K61" si="358">IF(ABS(K25*100-AE25)&lt;0.01,0,ABS(K25*100-AE25))</f>
        <v>0</v>
      </c>
      <c r="L61" s="53">
        <f t="shared" ref="L61" si="359">IF(ABS(L25*100-AF25)&lt;0.01,0,ABS(L25*100-AF25))</f>
        <v>0</v>
      </c>
      <c r="M61" s="53">
        <f t="shared" ref="M61" si="360">IF(ABS(M25*100-AG25)&lt;0.01,0,ABS(M25*100-AG25))</f>
        <v>0</v>
      </c>
      <c r="N61" s="53">
        <f t="shared" ref="N61" si="361">IF(ABS(N25*100-AH25)&lt;0.01,0,ABS(N25*100-AH25))</f>
        <v>0</v>
      </c>
      <c r="O61" s="53">
        <f t="shared" ref="O61" si="362">IF(ABS(O25*100-AI25)&lt;0.01,0,ABS(O25*100-AI25))</f>
        <v>0</v>
      </c>
      <c r="P61" s="53">
        <f t="shared" ref="P61" si="363">IF(ABS(P25*100-AJ25)&lt;0.01,0,ABS(P25*100-AJ25))</f>
        <v>0</v>
      </c>
      <c r="Q61" s="53">
        <f t="shared" ref="Q61" si="364">IF(ABS(Q25*100-AK25)&lt;0.01,0,ABS(Q25*100-AK25))</f>
        <v>0</v>
      </c>
      <c r="R61" s="53">
        <f t="shared" ref="R61" si="365">IF(ABS(R25*100-AL25)&lt;0.01,0,ABS(R25*100-AL25))</f>
        <v>0</v>
      </c>
      <c r="S61" s="53">
        <f t="shared" ref="S61" si="366">IF(ABS(S25*100-AM25)&lt;0.01,0,ABS(S25*100-AM25))</f>
        <v>0</v>
      </c>
      <c r="T61" s="53">
        <f t="shared" ref="T61" si="367">IF(ABS(T25*100-AN25)&lt;0.01,0,ABS(T25*100-AN25))</f>
        <v>0</v>
      </c>
      <c r="U61" s="53">
        <f t="shared" ref="U61" si="368">IF(ABS(U25*100-AO25)&lt;0.01,0,ABS(U25*100-AO25))</f>
        <v>0</v>
      </c>
      <c r="V61" s="53">
        <f t="shared" ref="V61" si="369">IF(ABS(V25*100-AP25)&lt;0.01,0,ABS(V25*100-AP25))</f>
        <v>0</v>
      </c>
      <c r="W61" s="53">
        <f t="shared" ref="W61" si="370">IF(ABS(W25*100-AQ25)&lt;0.01,0,ABS(W25*100-AQ25))</f>
        <v>0</v>
      </c>
      <c r="X61" s="53">
        <f t="shared" ref="X61" si="371">IF(ABS(X25*100-AR25)&lt;0.01,0,ABS(X25*100-AR25))</f>
        <v>0</v>
      </c>
      <c r="Y61" s="53">
        <f t="shared" ref="Y61" si="372">IF(ABS(Y25*100-AS25)&lt;0.01,0,ABS(Y25*100-AS25))</f>
        <v>0</v>
      </c>
      <c r="Z61" s="53">
        <f t="shared" ref="Z61" si="373">IF(ABS(Z25*100-AT25)&lt;0.01,0,ABS(Z25*100-AT25))</f>
        <v>0</v>
      </c>
      <c r="AA61" s="53">
        <f t="shared" ref="AA61" si="374">IF(ABS(AA25*100-AU25)&lt;0.01,0,ABS(AA25*100-AU25))</f>
        <v>0</v>
      </c>
      <c r="AB61" s="53">
        <f t="shared" ref="AB61" si="375">IF(ABS(AB25*100-AV25)&lt;0.01,0,ABS(AB25*100-AV25))</f>
        <v>0</v>
      </c>
    </row>
    <row r="62" spans="1:31" ht="18" x14ac:dyDescent="0.4">
      <c r="A62" s="1"/>
      <c r="B62" s="1"/>
      <c r="C62" s="1"/>
      <c r="D62" s="1"/>
      <c r="E62" s="1"/>
      <c r="F62" s="1"/>
      <c r="G62" s="1"/>
      <c r="H62" s="1"/>
      <c r="J62" s="53">
        <f t="shared" ref="J62" si="376">ABS(J26*100-AD26)</f>
        <v>4.5507101424036023E-5</v>
      </c>
      <c r="K62" s="53">
        <f t="shared" ref="K62" si="377">ABS(K26*100-AE26)</f>
        <v>1.8829382497642655E-13</v>
      </c>
      <c r="L62" s="53">
        <f t="shared" ref="L62" si="378">ABS(L26*100-AF26)</f>
        <v>4.4361680123117253E-5</v>
      </c>
      <c r="M62" s="53">
        <f t="shared" ref="M62" si="379">ABS(M26*100-AG26)</f>
        <v>4.4559631064089444E-5</v>
      </c>
      <c r="N62" s="53">
        <f t="shared" ref="N62" si="380">ABS(N26*100-AH26)</f>
        <v>1.1191048088221578E-13</v>
      </c>
      <c r="O62" s="53">
        <f t="shared" ref="O62" si="381">ABS(O26*100-AI26)</f>
        <v>1.9896799495100481E-5</v>
      </c>
      <c r="P62" s="53">
        <f t="shared" ref="P62" si="382">ABS(P26*100-AJ26)</f>
        <v>2.6477248731282543E-5</v>
      </c>
      <c r="Q62" s="53">
        <f t="shared" ref="Q62" si="383">ABS(Q26*100-AK26)</f>
        <v>2.8125112550014819E-7</v>
      </c>
      <c r="R62" s="53">
        <f t="shared" ref="R62" si="384">ABS(R26*100-AL26)</f>
        <v>1.2523164265587639E-5</v>
      </c>
      <c r="S62" s="53">
        <f t="shared" ref="S62" si="385">ABS(S26*100-AM26)</f>
        <v>0</v>
      </c>
      <c r="T62" s="53">
        <f t="shared" ref="T62" si="386">ABS(T26*100-AN26)</f>
        <v>3.4471123916191004E-5</v>
      </c>
      <c r="U62" s="53">
        <f t="shared" ref="U62" si="387">ABS(U26*100-AO26)</f>
        <v>7.3196881960058136E-6</v>
      </c>
      <c r="V62" s="53">
        <f t="shared" ref="V62" si="388">ABS(V26*100-AP26)</f>
        <v>3.147701537820069E-5</v>
      </c>
      <c r="W62" s="53">
        <f t="shared" ref="W62" si="389">ABS(W26*100-AQ26)</f>
        <v>2.351361584906897E-5</v>
      </c>
      <c r="X62" s="53">
        <f t="shared" ref="X62" si="390">ABS(X26*100-AR26)</f>
        <v>1.7763568394002505E-15</v>
      </c>
      <c r="Y62" s="53">
        <f t="shared" ref="Y62" si="391">ABS(Y26*100-AS26)</f>
        <v>3.36734313535203E-5</v>
      </c>
      <c r="Z62" s="53">
        <f t="shared" ref="Z62" si="392">ABS(Z26*100-AT26)</f>
        <v>1.683671567676015E-5</v>
      </c>
      <c r="AA62" s="53">
        <f t="shared" ref="AA62" si="393">ABS(AA26*100-AU26)</f>
        <v>0</v>
      </c>
      <c r="AB62" s="53">
        <f t="shared" ref="AB62" si="394">ABS(AB26*100-AV26)</f>
        <v>3.3333333332663528E-5</v>
      </c>
    </row>
    <row r="63" spans="1:31" ht="18" x14ac:dyDescent="0.4">
      <c r="A63" s="1"/>
      <c r="B63" s="1"/>
      <c r="C63" s="1"/>
      <c r="D63" s="1"/>
      <c r="E63" s="1"/>
      <c r="F63" s="1"/>
      <c r="G63" s="1"/>
      <c r="H63" s="1"/>
      <c r="J63" s="53">
        <f t="shared" ref="J63" si="395">ABS(J27-AD27)</f>
        <v>3.7253159206329656E-5</v>
      </c>
      <c r="K63" s="53">
        <f t="shared" ref="K63" si="396">ABS(K27-AE27)</f>
        <v>4.9144348253093995E-5</v>
      </c>
      <c r="L63" s="53">
        <f t="shared" ref="L63" si="397">ABS(L27-AF27)</f>
        <v>3.2650288773083957E-5</v>
      </c>
      <c r="M63" s="53">
        <f t="shared" ref="M63" si="398">ABS(M27-AG27)</f>
        <v>1.821387624545423E-5</v>
      </c>
      <c r="N63" s="53">
        <f t="shared" ref="N63" si="399">ABS(N27-AH27)</f>
        <v>4.3859318992645058E-5</v>
      </c>
      <c r="O63" s="53">
        <f t="shared" ref="O63" si="400">ABS(O27-AI27)</f>
        <v>3.6148168760519184E-6</v>
      </c>
      <c r="P63" s="53">
        <f t="shared" ref="P63" si="401">ABS(P27-AJ27)</f>
        <v>1.4428277552269719E-5</v>
      </c>
      <c r="Q63" s="53">
        <f t="shared" ref="Q63" si="402">ABS(Q27-AK27)</f>
        <v>2.8676179454123485E-5</v>
      </c>
      <c r="R63" s="53">
        <f t="shared" ref="R63" si="403">ABS(R27-AL27)</f>
        <v>8.8179838826363266E-6</v>
      </c>
      <c r="S63" s="53">
        <f t="shared" ref="S63:T63" si="404">ABS(S27-AM27)</f>
        <v>2.2894192852618289E-7</v>
      </c>
      <c r="T63" s="53">
        <f t="shared" si="404"/>
        <v>2.9307452251714494E-5</v>
      </c>
      <c r="U63" s="53">
        <f t="shared" ref="U63" si="405">ABS(U27-AO27)</f>
        <v>4.0731016198947145E-5</v>
      </c>
      <c r="V63" s="53">
        <f t="shared" ref="V63" si="406">ABS(V27-AP27)</f>
        <v>2.8899872305032659E-5</v>
      </c>
      <c r="W63" s="53">
        <f t="shared" ref="W63" si="407">ABS(W27-AQ27)</f>
        <v>3.2835153334076495E-5</v>
      </c>
      <c r="X63" s="53">
        <f t="shared" ref="X63" si="408">ABS(X27-AR27)</f>
        <v>1.7476870809218781E-5</v>
      </c>
      <c r="Y63" s="53">
        <f t="shared" ref="Y63" si="409">ABS(Y27-AS27)</f>
        <v>2.5232054696289197E-5</v>
      </c>
      <c r="Z63" s="53">
        <f t="shared" ref="Z63" si="410">ABS(Z27-AT27)</f>
        <v>1.9201546123781554E-5</v>
      </c>
      <c r="AA63" s="53">
        <f t="shared" ref="AA63" si="411">ABS(AA27-AU27)</f>
        <v>2.3532964789296784E-5</v>
      </c>
      <c r="AB63" s="53">
        <f t="shared" ref="AB63" si="412">ABS(AB27-AV27)</f>
        <v>3.3209233194497756E-5</v>
      </c>
    </row>
    <row r="64" spans="1:31" ht="18" x14ac:dyDescent="0.4">
      <c r="A64" s="1"/>
      <c r="B64" s="1"/>
      <c r="C64" s="1"/>
      <c r="D64" s="1"/>
      <c r="E64" s="1"/>
      <c r="F64" s="1"/>
      <c r="G64" s="1"/>
      <c r="H64" s="1"/>
      <c r="I64" s="1"/>
      <c r="J64" s="53">
        <f t="shared" ref="J64" si="413">IF(ABS(J28*100-AD28)&lt;0.01,0,ABS(J28*100-AD28))</f>
        <v>0</v>
      </c>
      <c r="K64" s="53">
        <f t="shared" ref="K64" si="414">IF(ABS(K28*100-AE28)&lt;0.01,0,ABS(K28*100-AE28))</f>
        <v>0</v>
      </c>
      <c r="L64" s="53">
        <f t="shared" ref="L64" si="415">IF(ABS(L28*100-AF28)&lt;0.01,0,ABS(L28*100-AF28))</f>
        <v>0</v>
      </c>
      <c r="M64" s="53">
        <f t="shared" ref="M64" si="416">IF(ABS(M28*100-AG28)&lt;0.01,0,ABS(M28*100-AG28))</f>
        <v>0</v>
      </c>
      <c r="N64" s="53">
        <f t="shared" ref="N64" si="417">IF(ABS(N28*100-AH28)&lt;0.01,0,ABS(N28*100-AH28))</f>
        <v>0</v>
      </c>
      <c r="O64" s="53">
        <f t="shared" ref="O64" si="418">IF(ABS(O28*100-AI28)&lt;0.01,0,ABS(O28*100-AI28))</f>
        <v>0</v>
      </c>
      <c r="P64" s="53">
        <f t="shared" ref="P64" si="419">IF(ABS(P28*100-AJ28)&lt;0.01,0,ABS(P28*100-AJ28))</f>
        <v>0</v>
      </c>
      <c r="Q64" s="53">
        <f t="shared" ref="Q64" si="420">IF(ABS(Q28*100-AK28)&lt;0.01,0,ABS(Q28*100-AK28))</f>
        <v>0</v>
      </c>
      <c r="R64" s="53">
        <f t="shared" ref="R64" si="421">IF(ABS(R28*100-AL28)&lt;0.01,0,ABS(R28*100-AL28))</f>
        <v>0</v>
      </c>
      <c r="S64" s="53">
        <f t="shared" ref="S64" si="422">IF(ABS(S28*100-AM28)&lt;0.01,0,ABS(S28*100-AM28))</f>
        <v>0</v>
      </c>
      <c r="T64" s="53">
        <f t="shared" ref="T64" si="423">IF(ABS(T28*100-AN28)&lt;0.01,0,ABS(T28*100-AN28))</f>
        <v>0</v>
      </c>
      <c r="U64" s="53">
        <f t="shared" ref="U64" si="424">IF(ABS(U28*100-AO28)&lt;0.01,0,ABS(U28*100-AO28))</f>
        <v>0</v>
      </c>
      <c r="V64" s="53">
        <f t="shared" ref="V64" si="425">IF(ABS(V28*100-AP28)&lt;0.01,0,ABS(V28*100-AP28))</f>
        <v>0</v>
      </c>
      <c r="W64" s="53">
        <f t="shared" ref="W64" si="426">IF(ABS(W28*100-AQ28)&lt;0.01,0,ABS(W28*100-AQ28))</f>
        <v>0</v>
      </c>
      <c r="X64" s="53">
        <f t="shared" ref="X64" si="427">IF(ABS(X28*100-AR28)&lt;0.01,0,ABS(X28*100-AR28))</f>
        <v>0</v>
      </c>
      <c r="Y64" s="53">
        <f t="shared" ref="Y64" si="428">IF(ABS(Y28*100-AS28)&lt;0.01,0,ABS(Y28*100-AS28))</f>
        <v>0</v>
      </c>
      <c r="Z64" s="53">
        <f t="shared" ref="Z64" si="429">IF(ABS(Z28*100-AT28)&lt;0.01,0,ABS(Z28*100-AT28))</f>
        <v>0</v>
      </c>
      <c r="AA64" s="53">
        <f t="shared" ref="AA64" si="430">IF(ABS(AA28*100-AU28)&lt;0.01,0,ABS(AA28*100-AU28))</f>
        <v>0</v>
      </c>
      <c r="AB64" s="53">
        <f t="shared" ref="AB64" si="431">IF(ABS(AB28*100-AV28)&lt;0.01,0,ABS(AB28*100-AV28))</f>
        <v>0</v>
      </c>
    </row>
    <row r="65" spans="1:28" ht="18" x14ac:dyDescent="0.4">
      <c r="A65" s="1"/>
      <c r="B65" s="1"/>
      <c r="C65" s="1"/>
      <c r="D65" s="1"/>
      <c r="E65" s="1"/>
      <c r="F65" s="1"/>
      <c r="G65" s="1"/>
      <c r="H65" s="1"/>
      <c r="I65" s="1"/>
      <c r="J65" s="53">
        <f t="shared" ref="J65" si="432">ABS(J29*100-AD29)</f>
        <v>1.0649721509992105E-5</v>
      </c>
      <c r="K65" s="53">
        <f t="shared" ref="K65" si="433">ABS(K29*100-AE29)</f>
        <v>5.2580162446247414E-13</v>
      </c>
      <c r="L65" s="53">
        <f t="shared" ref="L65" si="434">ABS(L29*100-AF29)</f>
        <v>5.2819358524303084E-5</v>
      </c>
      <c r="M65" s="53">
        <f t="shared" ref="M65" si="435">ABS(M29*100-AG29)</f>
        <v>5.7054908781495328E-5</v>
      </c>
      <c r="N65" s="53">
        <f t="shared" ref="N65" si="436">ABS(N29*100-AH29)</f>
        <v>1.0000000004062315E-4</v>
      </c>
      <c r="O65" s="53">
        <f t="shared" ref="O65" si="437">ABS(O29*100-AI29)</f>
        <v>2.0858311479798886E-5</v>
      </c>
      <c r="P65" s="53">
        <f t="shared" ref="P65" si="438">ABS(P29*100-AJ29)</f>
        <v>2.7355232536052654E-5</v>
      </c>
      <c r="Q65" s="53">
        <f t="shared" ref="Q65" si="439">ABS(Q29*100-AK29)</f>
        <v>4.0890442843277697E-5</v>
      </c>
      <c r="R65" s="53">
        <f t="shared" ref="R65" si="440">ABS(R29*100-AL29)</f>
        <v>4.5286498282948173E-5</v>
      </c>
      <c r="S65" s="53">
        <f t="shared" ref="S65" si="441">ABS(S29*100-AM29)</f>
        <v>0</v>
      </c>
      <c r="T65" s="53">
        <f t="shared" ref="T65" si="442">ABS(T29*100-AN29)</f>
        <v>6.6490414162956313E-5</v>
      </c>
      <c r="U65" s="53">
        <f t="shared" ref="U65" si="443">ABS(U29*100-AO29)</f>
        <v>1.6641309557030581E-6</v>
      </c>
      <c r="V65" s="53">
        <f t="shared" ref="V65" si="444">ABS(V29*100-AP29)</f>
        <v>6.7655259526233635E-5</v>
      </c>
      <c r="W65" s="53">
        <f t="shared" ref="W65" si="445">ABS(W29*100-AQ29)</f>
        <v>1.644136187550771E-5</v>
      </c>
      <c r="X65" s="53">
        <f t="shared" ref="X65" si="446">ABS(X29*100-AR29)</f>
        <v>1.7763568394002505E-15</v>
      </c>
      <c r="Y65" s="53">
        <f t="shared" ref="Y65" si="447">ABS(Y29*100-AS29)</f>
        <v>4.4166340753548639E-6</v>
      </c>
      <c r="Z65" s="53">
        <f t="shared" ref="Z65" si="448">ABS(Z29*100-AT29)</f>
        <v>5.2208317038449081E-5</v>
      </c>
      <c r="AA65" s="53">
        <f t="shared" ref="AA65" si="449">ABS(AA29*100-AU29)</f>
        <v>0</v>
      </c>
      <c r="AB65" s="53">
        <f t="shared" ref="AB65" si="450">ABS(AB29*100-AV29)</f>
        <v>3.3333333332663528E-5</v>
      </c>
    </row>
    <row r="66" spans="1:28" ht="18" x14ac:dyDescent="0.4">
      <c r="A66" s="1"/>
      <c r="B66" s="1"/>
      <c r="C66" s="1"/>
      <c r="D66" s="1"/>
      <c r="E66" s="1"/>
      <c r="F66" s="1"/>
      <c r="G66" s="1"/>
      <c r="H66" s="1"/>
      <c r="I66" s="1"/>
      <c r="J66" s="53">
        <f t="shared" ref="J66" si="451">ABS(J30-AD30)</f>
        <v>3.6232006871728117E-4</v>
      </c>
      <c r="K66" s="53">
        <f t="shared" ref="K66" si="452">ABS(K30-AE30)</f>
        <v>3.748902841493873E-5</v>
      </c>
      <c r="L66" s="53">
        <f t="shared" ref="L66" si="453">ABS(L30-AF30)</f>
        <v>1.4762171508664323E-4</v>
      </c>
      <c r="M66" s="53">
        <f t="shared" ref="M66" si="454">ABS(M30-AG30)</f>
        <v>1.421784056958586E-4</v>
      </c>
      <c r="N66" s="53">
        <f t="shared" ref="N66" si="455">ABS(N30-AH30)</f>
        <v>9.4886909835167899E-5</v>
      </c>
      <c r="O66" s="53">
        <f t="shared" ref="O66" si="456">ABS(O30-AI30)</f>
        <v>3.2512231626924404E-5</v>
      </c>
      <c r="P66" s="53">
        <f t="shared" ref="P66" si="457">ABS(P30-AJ30)</f>
        <v>1.7095017469159757E-5</v>
      </c>
      <c r="Q66" s="53">
        <f t="shared" ref="Q66" si="458">ABS(Q30-AK30)</f>
        <v>4.2039934314175298E-5</v>
      </c>
      <c r="R66" s="53">
        <f t="shared" ref="R66" si="459">ABS(R30-AL30)</f>
        <v>3.4457643820928752E-5</v>
      </c>
      <c r="S66" s="53">
        <f t="shared" ref="S66:T66" si="460">ABS(S30-AM30)</f>
        <v>8.5271176430978812E-7</v>
      </c>
      <c r="T66" s="53">
        <f t="shared" si="460"/>
        <v>3.3491954468445329E-5</v>
      </c>
      <c r="U66" s="53">
        <f t="shared" ref="U66" si="461">ABS(U30-AO30)</f>
        <v>3.3786586769224414E-5</v>
      </c>
      <c r="V66" s="53">
        <f t="shared" ref="V66" si="462">ABS(V30-AP30)</f>
        <v>3.6710181490207106E-5</v>
      </c>
      <c r="W66" s="53">
        <f t="shared" ref="W66" si="463">ABS(W30-AQ30)</f>
        <v>1.0476945540460747E-4</v>
      </c>
      <c r="X66" s="53">
        <f t="shared" ref="X66" si="464">ABS(X30-AR30)</f>
        <v>4.5463473028917178E-5</v>
      </c>
      <c r="Y66" s="53">
        <f t="shared" ref="Y66" si="465">ABS(Y30-AS30)</f>
        <v>1.7982896494572742E-5</v>
      </c>
      <c r="Z66" s="53">
        <f t="shared" ref="Z66" si="466">ABS(Z30-AT30)</f>
        <v>8.7481629122976301E-5</v>
      </c>
      <c r="AA66" s="53">
        <f t="shared" ref="AA66" si="467">ABS(AA30-AU30)</f>
        <v>3.5839834524153957E-5</v>
      </c>
      <c r="AB66" s="53">
        <f t="shared" ref="AB66" si="468">ABS(AB30-AV30)</f>
        <v>8.562454756599891E-5</v>
      </c>
    </row>
    <row r="67" spans="1:28" ht="18" x14ac:dyDescent="0.4">
      <c r="A67" s="1"/>
      <c r="B67" s="1"/>
      <c r="C67" s="1"/>
      <c r="D67" s="1"/>
      <c r="E67" s="1"/>
      <c r="F67" s="1"/>
      <c r="G67" s="1"/>
      <c r="H67" s="1"/>
      <c r="I67" s="1"/>
      <c r="J67" s="53">
        <f t="shared" ref="J67" si="469">IF(ABS(J31*100-AD31)&lt;0.01,0,ABS(J31*100-AD31))</f>
        <v>0</v>
      </c>
      <c r="K67" s="53">
        <f t="shared" ref="K67" si="470">IF(ABS(K31*100-AE31)&lt;0.01,0,ABS(K31*100-AE31))</f>
        <v>0</v>
      </c>
      <c r="L67" s="53">
        <f t="shared" ref="L67" si="471">IF(ABS(L31*100-AF31)&lt;0.01,0,ABS(L31*100-AF31))</f>
        <v>0</v>
      </c>
      <c r="M67" s="53">
        <f t="shared" ref="M67" si="472">IF(ABS(M31*100-AG31)&lt;0.01,0,ABS(M31*100-AG31))</f>
        <v>0</v>
      </c>
      <c r="N67" s="53">
        <f t="shared" ref="N67" si="473">IF(ABS(N31*100-AH31)&lt;0.01,0,ABS(N31*100-AH31))</f>
        <v>0</v>
      </c>
      <c r="O67" s="53">
        <f t="shared" ref="O67" si="474">IF(ABS(O31*100-AI31)&lt;0.01,0,ABS(O31*100-AI31))</f>
        <v>0</v>
      </c>
      <c r="P67" s="53">
        <f t="shared" ref="P67" si="475">IF(ABS(P31*100-AJ31)&lt;0.01,0,ABS(P31*100-AJ31))</f>
        <v>0</v>
      </c>
      <c r="Q67" s="53">
        <f t="shared" ref="Q67" si="476">IF(ABS(Q31*100-AK31)&lt;0.01,0,ABS(Q31*100-AK31))</f>
        <v>0</v>
      </c>
      <c r="R67" s="53">
        <f t="shared" ref="R67" si="477">IF(ABS(R31*100-AL31)&lt;0.01,0,ABS(R31*100-AL31))</f>
        <v>0</v>
      </c>
      <c r="S67" s="53">
        <f t="shared" ref="S67" si="478">IF(ABS(S31*100-AM31)&lt;0.01,0,ABS(S31*100-AM31))</f>
        <v>0</v>
      </c>
      <c r="T67" s="53">
        <f t="shared" ref="T67" si="479">IF(ABS(T31*100-AN31)&lt;0.01,0,ABS(T31*100-AN31))</f>
        <v>0</v>
      </c>
      <c r="U67" s="53">
        <f t="shared" ref="U67" si="480">IF(ABS(U31*100-AO31)&lt;0.01,0,ABS(U31*100-AO31))</f>
        <v>0</v>
      </c>
      <c r="V67" s="53">
        <f t="shared" ref="V67" si="481">IF(ABS(V31*100-AP31)&lt;0.01,0,ABS(V31*100-AP31))</f>
        <v>0</v>
      </c>
      <c r="W67" s="53">
        <f t="shared" ref="W67" si="482">IF(ABS(W31*100-AQ31)&lt;0.01,0,ABS(W31*100-AQ31))</f>
        <v>0</v>
      </c>
      <c r="X67" s="53">
        <f t="shared" ref="X67" si="483">IF(ABS(X31*100-AR31)&lt;0.01,0,ABS(X31*100-AR31))</f>
        <v>0</v>
      </c>
      <c r="Y67" s="53">
        <f t="shared" ref="Y67" si="484">IF(ABS(Y31*100-AS31)&lt;0.01,0,ABS(Y31*100-AS31))</f>
        <v>0</v>
      </c>
      <c r="Z67" s="53">
        <f t="shared" ref="Z67" si="485">IF(ABS(Z31*100-AT31)&lt;0.01,0,ABS(Z31*100-AT31))</f>
        <v>0</v>
      </c>
      <c r="AA67" s="53">
        <f t="shared" ref="AA67" si="486">IF(ABS(AA31*100-AU31)&lt;0.01,0,ABS(AA31*100-AU31))</f>
        <v>0</v>
      </c>
      <c r="AB67" s="53">
        <f t="shared" ref="AB67" si="487">IF(ABS(AB31*100-AV31)&lt;0.01,0,ABS(AB31*100-AV31))</f>
        <v>0</v>
      </c>
    </row>
    <row r="68" spans="1:28" ht="18" x14ac:dyDescent="0.4">
      <c r="A68" s="1"/>
      <c r="B68" s="1"/>
      <c r="C68" s="1"/>
      <c r="D68" s="1"/>
      <c r="E68" s="1"/>
      <c r="F68" s="1"/>
      <c r="G68" s="1"/>
      <c r="H68" s="1"/>
      <c r="I68" s="1"/>
      <c r="J68" s="53">
        <f t="shared" ref="J68" si="488">ABS(J32*100-AD32)</f>
        <v>3.0054542968116493E-5</v>
      </c>
      <c r="K68" s="53">
        <f t="shared" ref="K68" si="489">ABS(K32*100-AE32)</f>
        <v>5.2224891078367364E-13</v>
      </c>
      <c r="L68" s="53">
        <f t="shared" ref="L68" si="490">ABS(L32*100-AF32)</f>
        <v>4.8024586090988919E-5</v>
      </c>
      <c r="M68" s="53">
        <f t="shared" ref="M68" si="491">ABS(M32*100-AG32)</f>
        <v>5.0067204806936161E-5</v>
      </c>
      <c r="N68" s="53">
        <f t="shared" ref="N68" si="492">ABS(N32*100-AH32)</f>
        <v>1.5987211554602254E-14</v>
      </c>
      <c r="O68" s="53">
        <f t="shared" ref="O68" si="493">ABS(O32*100-AI32)</f>
        <v>9.6965565905549056E-6</v>
      </c>
      <c r="P68" s="53">
        <f t="shared" ref="P68" si="494">ABS(P32*100-AJ32)</f>
        <v>4.5790138576862205E-5</v>
      </c>
      <c r="Q68" s="53">
        <f t="shared" ref="Q68" si="495">ABS(Q32*100-AK32)</f>
        <v>2.6694895055356938E-5</v>
      </c>
      <c r="R68" s="53">
        <f t="shared" ref="R68" si="496">ABS(R32*100-AL32)</f>
        <v>2.799180831658532E-5</v>
      </c>
      <c r="S68" s="53">
        <f t="shared" ref="S68" si="497">ABS(S32*100-AM32)</f>
        <v>0</v>
      </c>
      <c r="T68" s="53">
        <f t="shared" ref="T68" si="498">ABS(T32*100-AN32)</f>
        <v>6.9507131055246418E-6</v>
      </c>
      <c r="U68" s="53">
        <f t="shared" ref="U68" si="499">ABS(U32*100-AO32)</f>
        <v>1.1228964904574923E-5</v>
      </c>
      <c r="V68" s="53">
        <f t="shared" ref="V68" si="500">ABS(V32*100-AP32)</f>
        <v>2.3365664102215078E-5</v>
      </c>
      <c r="W68" s="53">
        <f t="shared" ref="W68" si="501">ABS(W32*100-AQ32)</f>
        <v>4.4539782782848647E-5</v>
      </c>
      <c r="X68" s="53">
        <f t="shared" ref="X68" si="502">ABS(X32*100-AR32)</f>
        <v>0</v>
      </c>
      <c r="Y68" s="53">
        <f t="shared" ref="Y68" si="503">ABS(Y32*100-AS32)</f>
        <v>2.7330902467426199E-5</v>
      </c>
      <c r="Z68" s="53">
        <f t="shared" ref="Z68" si="504">ABS(Z32*100-AT32)</f>
        <v>1.3665451234601278E-5</v>
      </c>
      <c r="AA68" s="53">
        <f t="shared" ref="AA68" si="505">ABS(AA32*100-AU32)</f>
        <v>5.3290705182007514E-15</v>
      </c>
      <c r="AB68" s="53">
        <f t="shared" ref="AB68" si="506">ABS(AB32*100-AV32)</f>
        <v>1.7763568394002505E-15</v>
      </c>
    </row>
    <row r="69" spans="1:28" ht="18" x14ac:dyDescent="0.4">
      <c r="A69" s="1"/>
      <c r="B69" s="1"/>
      <c r="C69" s="1"/>
      <c r="D69" s="1"/>
      <c r="E69" s="1"/>
      <c r="F69" s="1"/>
      <c r="G69" s="1"/>
      <c r="H69" s="1"/>
      <c r="I69" s="1"/>
      <c r="J69" s="53">
        <f t="shared" ref="J69" si="507">ABS(J33-AD33)</f>
        <v>3.0677279283963799E-5</v>
      </c>
      <c r="K69" s="53">
        <f t="shared" ref="K69" si="508">ABS(K33-AE33)</f>
        <v>3.4206916637913309E-5</v>
      </c>
      <c r="L69" s="53">
        <f t="shared" ref="L69" si="509">ABS(L33-AF33)</f>
        <v>1.1548941614591968E-5</v>
      </c>
      <c r="M69" s="53">
        <f t="shared" ref="M69" si="510">ABS(M33-AG33)</f>
        <v>2.1555092047265134E-5</v>
      </c>
      <c r="N69" s="53">
        <f t="shared" ref="N69" si="511">ABS(N33-AH33)</f>
        <v>6.7637433289746696E-6</v>
      </c>
      <c r="O69" s="53">
        <f t="shared" ref="O69" si="512">ABS(O33-AI33)</f>
        <v>4.1185338830018736E-5</v>
      </c>
      <c r="P69" s="53">
        <f t="shared" ref="P69" si="513">ABS(P33-AJ33)</f>
        <v>4.8313155176060718E-5</v>
      </c>
      <c r="Q69" s="53">
        <f t="shared" ref="Q69" si="514">ABS(Q33-AK33)</f>
        <v>2.3852146853187151E-5</v>
      </c>
      <c r="R69" s="53">
        <f t="shared" ref="R69" si="515">ABS(R33-AL33)</f>
        <v>1.7846568979962285E-5</v>
      </c>
      <c r="S69" s="53">
        <f t="shared" ref="S69:T69" si="516">ABS(S33-AM33)</f>
        <v>6.6522940755930904E-7</v>
      </c>
      <c r="T69" s="53">
        <f t="shared" si="516"/>
        <v>5.0502462627832756E-5</v>
      </c>
      <c r="U69" s="53">
        <f t="shared" ref="U69" si="517">ABS(U33-AO33)</f>
        <v>3.7768948359939714E-5</v>
      </c>
      <c r="V69" s="53">
        <f t="shared" ref="V69" si="518">ABS(V33-AP33)</f>
        <v>1.7999940851609608E-5</v>
      </c>
      <c r="W69" s="53">
        <f t="shared" ref="W69" si="519">ABS(W33-AQ33)</f>
        <v>3.050597707954239E-5</v>
      </c>
      <c r="X69" s="53">
        <f t="shared" ref="X69" si="520">ABS(X33-AR33)</f>
        <v>2.0952260271656087E-5</v>
      </c>
      <c r="Y69" s="53">
        <f t="shared" ref="Y69" si="521">ABS(Y33-AS33)</f>
        <v>1.0181478273807443E-6</v>
      </c>
      <c r="Z69" s="53">
        <f t="shared" ref="Z69" si="522">ABS(Z33-AT33)</f>
        <v>4.8079798460776146E-5</v>
      </c>
      <c r="AA69" s="53">
        <f t="shared" ref="AA69" si="523">ABS(AA33-AU33)</f>
        <v>3.3257630278171746E-5</v>
      </c>
      <c r="AB69" s="53">
        <f t="shared" ref="AB69" si="524">ABS(AB33-AV33)</f>
        <v>1.0654569670975889E-5</v>
      </c>
    </row>
    <row r="70" spans="1:28" ht="18" x14ac:dyDescent="0.4">
      <c r="A70" s="1"/>
      <c r="B70" s="1"/>
      <c r="C70" s="1"/>
      <c r="D70" s="1"/>
      <c r="E70" s="1"/>
      <c r="F70" s="1"/>
      <c r="G70" s="1"/>
      <c r="H70" s="1"/>
      <c r="I70" s="1"/>
      <c r="J70" s="53">
        <f t="shared" ref="J70" si="525">IF(ABS(J34*100-AD34)&lt;0.01,0,ABS(J34*100-AD34))</f>
        <v>0</v>
      </c>
      <c r="K70" s="53">
        <f t="shared" ref="K70" si="526">IF(ABS(K34*100-AE34)&lt;0.01,0,ABS(K34*100-AE34))</f>
        <v>0</v>
      </c>
      <c r="L70" s="53">
        <f t="shared" ref="L70" si="527">IF(ABS(L34*100-AF34)&lt;0.01,0,ABS(L34*100-AF34))</f>
        <v>0</v>
      </c>
      <c r="M70" s="53">
        <f t="shared" ref="M70" si="528">IF(ABS(M34*100-AG34)&lt;0.01,0,ABS(M34*100-AG34))</f>
        <v>0</v>
      </c>
      <c r="N70" s="53">
        <f t="shared" ref="N70" si="529">IF(ABS(N34*100-AH34)&lt;0.01,0,ABS(N34*100-AH34))</f>
        <v>0</v>
      </c>
      <c r="O70" s="53">
        <f t="shared" ref="O70" si="530">IF(ABS(O34*100-AI34)&lt;0.01,0,ABS(O34*100-AI34))</f>
        <v>0</v>
      </c>
      <c r="P70" s="53">
        <f t="shared" ref="P70" si="531">IF(ABS(P34*100-AJ34)&lt;0.01,0,ABS(P34*100-AJ34))</f>
        <v>0</v>
      </c>
      <c r="Q70" s="53">
        <f t="shared" ref="Q70" si="532">IF(ABS(Q34*100-AK34)&lt;0.01,0,ABS(Q34*100-AK34))</f>
        <v>0</v>
      </c>
      <c r="R70" s="53">
        <f t="shared" ref="R70" si="533">IF(ABS(R34*100-AL34)&lt;0.01,0,ABS(R34*100-AL34))</f>
        <v>0</v>
      </c>
      <c r="S70" s="53">
        <f t="shared" ref="S70" si="534">IF(ABS(S34*100-AM34)&lt;0.01,0,ABS(S34*100-AM34))</f>
        <v>0</v>
      </c>
      <c r="T70" s="53">
        <f t="shared" ref="T70" si="535">IF(ABS(T34*100-AN34)&lt;0.01,0,ABS(T34*100-AN34))</f>
        <v>0</v>
      </c>
      <c r="U70" s="53">
        <f t="shared" ref="U70" si="536">IF(ABS(U34*100-AO34)&lt;0.01,0,ABS(U34*100-AO34))</f>
        <v>0</v>
      </c>
      <c r="V70" s="53">
        <f t="shared" ref="V70" si="537">IF(ABS(V34*100-AP34)&lt;0.01,0,ABS(V34*100-AP34))</f>
        <v>0</v>
      </c>
      <c r="W70" s="53">
        <f t="shared" ref="W70" si="538">IF(ABS(W34*100-AQ34)&lt;0.01,0,ABS(W34*100-AQ34))</f>
        <v>0</v>
      </c>
      <c r="X70" s="53">
        <f t="shared" ref="X70" si="539">IF(ABS(X34*100-AR34)&lt;0.01,0,ABS(X34*100-AR34))</f>
        <v>0</v>
      </c>
      <c r="Y70" s="53">
        <f t="shared" ref="Y70" si="540">IF(ABS(Y34*100-AS34)&lt;0.01,0,ABS(Y34*100-AS34))</f>
        <v>0</v>
      </c>
      <c r="Z70" s="53">
        <f t="shared" ref="Z70" si="541">IF(ABS(Z34*100-AT34)&lt;0.01,0,ABS(Z34*100-AT34))</f>
        <v>0</v>
      </c>
      <c r="AA70" s="53">
        <f t="shared" ref="AA70" si="542">IF(ABS(AA34*100-AU34)&lt;0.01,0,ABS(AA34*100-AU34))</f>
        <v>0</v>
      </c>
      <c r="AB70" s="53">
        <f t="shared" ref="AB70" si="543">IF(ABS(AB34*100-AV34)&lt;0.01,0,ABS(AB34*100-AV34))</f>
        <v>0</v>
      </c>
    </row>
    <row r="71" spans="1:28" ht="18" x14ac:dyDescent="0.4">
      <c r="A71" s="1"/>
      <c r="B71" s="1"/>
      <c r="C71" s="1"/>
      <c r="D71" s="1"/>
      <c r="E71" s="1"/>
      <c r="F71" s="1"/>
      <c r="G71" s="1"/>
      <c r="H71" s="1"/>
      <c r="I71" s="1"/>
      <c r="J71" s="53">
        <f t="shared" ref="J71" si="544">ABS(J35*100-AD35)</f>
        <v>5.653137414185494E-6</v>
      </c>
      <c r="K71" s="53">
        <f t="shared" ref="K71" si="545">ABS(K35*100-AE35)</f>
        <v>1.6342482922482304E-13</v>
      </c>
      <c r="L71" s="53">
        <f t="shared" ref="L71" si="546">ABS(L35*100-AF35)</f>
        <v>2.8683700216802777E-5</v>
      </c>
      <c r="M71" s="53">
        <f t="shared" ref="M71" si="547">ABS(M35*100-AG35)</f>
        <v>4.5367365114401537E-5</v>
      </c>
      <c r="N71" s="53">
        <f t="shared" ref="N71" si="548">ABS(N35*100-AH35)</f>
        <v>1.7763568394002505E-15</v>
      </c>
      <c r="O71" s="53">
        <f t="shared" ref="O71" si="549">ABS(O35*100-AI35)</f>
        <v>5.7380677169760474E-6</v>
      </c>
      <c r="P71" s="53">
        <f t="shared" ref="P71" si="550">ABS(P35*100-AJ35)</f>
        <v>1.6092904049358481E-5</v>
      </c>
      <c r="Q71" s="53">
        <f t="shared" ref="Q71" si="551">ABS(Q35*100-AK35)</f>
        <v>1.8548355546599282E-5</v>
      </c>
      <c r="R71" s="53">
        <f t="shared" ref="R71" si="552">ABS(R35*100-AL35)</f>
        <v>7.2562222115379882E-6</v>
      </c>
      <c r="S71" s="53">
        <f t="shared" ref="S71" si="553">ABS(S35*100-AM35)</f>
        <v>0</v>
      </c>
      <c r="T71" s="53">
        <f t="shared" ref="T71" si="554">ABS(T35*100-AN35)</f>
        <v>4.8271215375095267E-5</v>
      </c>
      <c r="U71" s="53">
        <f t="shared" ref="U71" si="555">ABS(U35*100-AO35)</f>
        <v>2.1395458897899289E-5</v>
      </c>
      <c r="V71" s="53">
        <f t="shared" ref="V71" si="556">ABS(V35*100-AP35)</f>
        <v>2.5075802719598528E-5</v>
      </c>
      <c r="W71" s="53">
        <f t="shared" ref="W71" si="557">ABS(W35*100-AQ35)</f>
        <v>4.6076966821573251E-5</v>
      </c>
      <c r="X71" s="53">
        <f t="shared" ref="X71" si="558">ABS(X35*100-AR35)</f>
        <v>0</v>
      </c>
      <c r="Y71" s="53">
        <f t="shared" ref="Y71" si="559">ABS(Y35*100-AS35)</f>
        <v>3.0437945223837914E-5</v>
      </c>
      <c r="Z71" s="53">
        <f t="shared" ref="Z71" si="560">ABS(Z35*100-AT35)</f>
        <v>3.4781027389740871E-5</v>
      </c>
      <c r="AA71" s="53">
        <f t="shared" ref="AA71" si="561">ABS(AA35*100-AU35)</f>
        <v>3.5527136788005009E-15</v>
      </c>
      <c r="AB71" s="53">
        <f t="shared" ref="AB71" si="562">ABS(AB35*100-AV35)</f>
        <v>3.3333333334439885E-5</v>
      </c>
    </row>
    <row r="72" spans="1:28" ht="18" x14ac:dyDescent="0.4">
      <c r="A72" s="1"/>
      <c r="B72" s="1"/>
      <c r="C72" s="1"/>
      <c r="D72" s="1"/>
      <c r="E72" s="1"/>
      <c r="F72" s="1"/>
      <c r="G72" s="1"/>
      <c r="H72" s="1"/>
      <c r="I72" s="1"/>
      <c r="J72" s="53">
        <f t="shared" ref="J72" si="563">ABS(J36-AD36)</f>
        <v>4.9211220414235868E-5</v>
      </c>
      <c r="K72" s="53">
        <f t="shared" ref="K72" si="564">ABS(K36-AE36)</f>
        <v>1.4866081812670018E-5</v>
      </c>
      <c r="L72" s="53">
        <f t="shared" ref="L72" si="565">ABS(L36-AF36)</f>
        <v>1.8154628548927576E-5</v>
      </c>
      <c r="M72" s="53">
        <f t="shared" ref="M72" si="566">ABS(M36-AG36)</f>
        <v>1.8273765803655806E-5</v>
      </c>
      <c r="N72" s="53">
        <f t="shared" ref="N72" si="567">ABS(N36-AH36)</f>
        <v>3.4716777861376613E-6</v>
      </c>
      <c r="O72" s="53">
        <f t="shared" ref="O72" si="568">ABS(O36-AI36)</f>
        <v>3.9885658551952474E-5</v>
      </c>
      <c r="P72" s="53">
        <f t="shared" ref="P72" si="569">ABS(P36-AJ36)</f>
        <v>4.0930210616352269E-6</v>
      </c>
      <c r="Q72" s="53">
        <f t="shared" ref="Q72" si="570">ABS(Q36-AK36)</f>
        <v>2.371962622760293E-5</v>
      </c>
      <c r="R72" s="53">
        <f t="shared" ref="R72" si="571">ABS(R36-AL36)</f>
        <v>4.1577310653906352E-5</v>
      </c>
      <c r="S72" s="53">
        <f t="shared" ref="S72:T72" si="572">ABS(S36-AM36)</f>
        <v>1.1657889444904868E-6</v>
      </c>
      <c r="T72" s="53">
        <f t="shared" si="572"/>
        <v>3.5116139898150323E-5</v>
      </c>
      <c r="U72" s="53">
        <f t="shared" ref="U72" si="573">ABS(U36-AO36)</f>
        <v>3.7373903879256432E-5</v>
      </c>
      <c r="V72" s="53">
        <f t="shared" ref="V72" si="574">ABS(V36-AP36)</f>
        <v>1.3751653781923778E-5</v>
      </c>
      <c r="W72" s="53">
        <f t="shared" ref="W72" si="575">ABS(W36-AQ36)</f>
        <v>4.2127318479856513E-5</v>
      </c>
      <c r="X72" s="53">
        <f t="shared" ref="X72" si="576">ABS(X36-AR36)</f>
        <v>4.9250239896991843E-5</v>
      </c>
      <c r="Y72" s="53">
        <f t="shared" ref="Y72" si="577">ABS(Y36-AS36)</f>
        <v>1.785385033770126E-5</v>
      </c>
      <c r="Z72" s="53">
        <f t="shared" ref="Z72" si="578">ABS(Z36-AT36)</f>
        <v>3.1521622908314839E-5</v>
      </c>
      <c r="AA72" s="53">
        <f t="shared" ref="AA72" si="579">ABS(AA36-AU36)</f>
        <v>2.0632874750958763E-6</v>
      </c>
      <c r="AB72" s="53">
        <f t="shared" ref="AB72" si="580">ABS(AB36-AV36)</f>
        <v>1.2279308499785202E-5</v>
      </c>
    </row>
    <row r="73" spans="1:28" x14ac:dyDescent="0.4">
      <c r="J73">
        <v>0</v>
      </c>
    </row>
    <row r="183" spans="18:44" ht="18" x14ac:dyDescent="0.4"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44"/>
    </row>
    <row r="184" spans="18:44" ht="18" x14ac:dyDescent="0.4"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</row>
  </sheetData>
  <mergeCells count="5">
    <mergeCell ref="J3:AB3"/>
    <mergeCell ref="J2:AB2"/>
    <mergeCell ref="C2:D2"/>
    <mergeCell ref="E2:I2"/>
    <mergeCell ref="E3:I3"/>
  </mergeCells>
  <phoneticPr fontId="1" type="noConversion"/>
  <conditionalFormatting sqref="Z184:AR184 Z183:AQ18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83:AQ183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18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{B02AEFAD-36FD-4AB1-81C4-C867F290C7FC}</x14:id>
        </ext>
      </extLst>
    </cfRule>
  </conditionalFormatting>
  <conditionalFormatting sqref="J40:AB72 J73:AA7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{C14D1D54-A9E8-4E7D-AFD5-597E20BB2B58}</x14:id>
        </ext>
      </extLst>
    </cfRule>
  </conditionalFormatting>
  <pageMargins left="0.7" right="0.7" top="0.75" bottom="0.75" header="0.3" footer="0.3"/>
  <pageSetup paperSize="9" orientation="portrait" r:id="rId1"/>
  <ignoredErrors>
    <ignoredError sqref="J42:S42 U42:AB4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XVolProcess">
                <anchor moveWithCells="1" sizeWithCells="1">
                  <from>
                    <xdr:col>16</xdr:col>
                    <xdr:colOff>127000</xdr:colOff>
                    <xdr:row>36</xdr:row>
                    <xdr:rowOff>107950</xdr:rowOff>
                  </from>
                  <to>
                    <xdr:col>19</xdr:col>
                    <xdr:colOff>527050</xdr:colOff>
                    <xdr:row>38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2AEFAD-36FD-4AB1-81C4-C867F290C7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AR183</xm:sqref>
        </x14:conditionalFormatting>
        <x14:conditionalFormatting xmlns:xm="http://schemas.microsoft.com/office/excel/2006/main">
          <x14:cfRule type="dataBar" id="{C14D1D54-A9E8-4E7D-AFD5-597E20BB2B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J40:AB72 J73:AA73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BM118"/>
  <sheetViews>
    <sheetView zoomScale="70" zoomScaleNormal="70" workbookViewId="0">
      <selection activeCell="G5" sqref="G5"/>
    </sheetView>
  </sheetViews>
  <sheetFormatPr defaultRowHeight="17" x14ac:dyDescent="0.4"/>
  <cols>
    <col min="1" max="1" width="2.36328125" style="50" customWidth="1"/>
    <col min="2" max="25" width="10.08984375" customWidth="1"/>
    <col min="26" max="26" width="2.6328125" style="50" customWidth="1"/>
    <col min="27" max="34" width="9.08984375" bestFit="1" customWidth="1"/>
    <col min="35" max="35" width="15" bestFit="1" customWidth="1"/>
    <col min="36" max="36" width="12.36328125" customWidth="1"/>
    <col min="37" max="45" width="9.08984375" bestFit="1" customWidth="1"/>
    <col min="47" max="47" width="14.7265625" bestFit="1" customWidth="1"/>
  </cols>
  <sheetData>
    <row r="1" spans="2:45" s="50" customFormat="1" ht="12" customHeight="1" x14ac:dyDescent="0.4"/>
    <row r="2" spans="2:45" ht="18" x14ac:dyDescent="0.4">
      <c r="B2" s="108" t="s">
        <v>129</v>
      </c>
      <c r="C2" s="108"/>
      <c r="D2" s="51"/>
      <c r="E2" s="51"/>
      <c r="F2" s="51"/>
      <c r="G2" s="109" t="s">
        <v>128</v>
      </c>
      <c r="H2" s="109">
        <f>Input!E4</f>
        <v>143.83000000000001</v>
      </c>
      <c r="I2" s="109" t="s">
        <v>130</v>
      </c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110">
        <v>44830</v>
      </c>
      <c r="Y2" s="110"/>
      <c r="Z2" s="54"/>
    </row>
    <row r="3" spans="2:45" ht="16.5" customHeight="1" x14ac:dyDescent="0.4">
      <c r="B3" s="108"/>
      <c r="C3" s="108"/>
      <c r="D3" s="51"/>
      <c r="E3" s="51"/>
      <c r="F3" s="51"/>
      <c r="G3" s="109"/>
      <c r="H3" s="109"/>
      <c r="I3" s="109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110"/>
      <c r="Y3" s="110"/>
      <c r="Z3" s="55"/>
    </row>
    <row r="4" spans="2:45" ht="18" x14ac:dyDescent="0.4">
      <c r="B4" s="59" t="s">
        <v>56</v>
      </c>
      <c r="C4" s="59" t="s">
        <v>12</v>
      </c>
      <c r="D4" s="59" t="s">
        <v>11</v>
      </c>
      <c r="E4" s="59" t="s">
        <v>13</v>
      </c>
      <c r="F4" s="59" t="s">
        <v>14</v>
      </c>
      <c r="G4" s="58" t="s">
        <v>15</v>
      </c>
      <c r="H4" s="58" t="s">
        <v>16</v>
      </c>
      <c r="I4" s="58" t="s">
        <v>17</v>
      </c>
      <c r="J4" s="58" t="s">
        <v>18</v>
      </c>
      <c r="K4" s="58" t="s">
        <v>19</v>
      </c>
      <c r="L4" s="58" t="s">
        <v>20</v>
      </c>
      <c r="M4" s="58" t="s">
        <v>21</v>
      </c>
      <c r="N4" s="58" t="s">
        <v>22</v>
      </c>
      <c r="O4" s="58" t="s">
        <v>23</v>
      </c>
      <c r="P4" s="58" t="s">
        <v>24</v>
      </c>
      <c r="Q4" s="58" t="s">
        <v>25</v>
      </c>
      <c r="R4" s="58" t="s">
        <v>26</v>
      </c>
      <c r="S4" s="58" t="s">
        <v>27</v>
      </c>
      <c r="T4" s="58" t="s">
        <v>28</v>
      </c>
      <c r="U4" s="58" t="s">
        <v>29</v>
      </c>
      <c r="V4" s="58" t="s">
        <v>30</v>
      </c>
      <c r="W4" s="58" t="s">
        <v>31</v>
      </c>
      <c r="X4" s="58" t="s">
        <v>32</v>
      </c>
      <c r="Y4" s="58" t="s">
        <v>33</v>
      </c>
      <c r="Z4" s="54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2:45" ht="18" x14ac:dyDescent="0.4">
      <c r="B5" s="106" t="str">
        <f>Input!C7</f>
        <v>1W</v>
      </c>
      <c r="C5" s="106">
        <f>Input!J7</f>
        <v>-4.7050000000000001</v>
      </c>
      <c r="D5" s="106">
        <f>Input!I7</f>
        <v>-2.1880000000000002</v>
      </c>
      <c r="E5" s="106">
        <f>Input!K7</f>
        <v>0.43</v>
      </c>
      <c r="F5" s="106">
        <f>Input!L7</f>
        <v>2.12</v>
      </c>
      <c r="G5" s="60">
        <v>14.418715986588705</v>
      </c>
      <c r="H5" s="60">
        <v>14.265500000000003</v>
      </c>
      <c r="I5" s="60">
        <v>14.095225291337288</v>
      </c>
      <c r="J5" s="60">
        <v>13.929239119244929</v>
      </c>
      <c r="K5" s="60">
        <v>13.834</v>
      </c>
      <c r="L5" s="60">
        <v>13.85526260791003</v>
      </c>
      <c r="M5" s="60">
        <v>13.970124903066658</v>
      </c>
      <c r="N5" s="60">
        <v>14.140495648006718</v>
      </c>
      <c r="O5" s="60">
        <v>14.329197435959703</v>
      </c>
      <c r="P5" s="60">
        <v>14.497999999999999</v>
      </c>
      <c r="Q5" s="60">
        <v>14.624723553015647</v>
      </c>
      <c r="R5" s="60">
        <v>14.771325604290908</v>
      </c>
      <c r="S5" s="60">
        <v>15.006518357677257</v>
      </c>
      <c r="T5" s="60">
        <v>15.400132820478888</v>
      </c>
      <c r="U5" s="60">
        <v>16.021999999999998</v>
      </c>
      <c r="V5" s="60">
        <v>16.905472091992106</v>
      </c>
      <c r="W5" s="60">
        <v>17.937986045996052</v>
      </c>
      <c r="X5" s="60">
        <v>18.970499999999998</v>
      </c>
      <c r="Y5" s="60">
        <v>19.95333333333333</v>
      </c>
      <c r="Z5" s="54"/>
      <c r="AA5" s="1">
        <v>14.4187159847112</v>
      </c>
      <c r="AB5" s="1">
        <v>14.265499999955001</v>
      </c>
      <c r="AC5" s="1">
        <v>14.095225443544299</v>
      </c>
      <c r="AD5" s="1">
        <v>13.9292394344985</v>
      </c>
      <c r="AE5" s="1">
        <v>13.8340000016902</v>
      </c>
      <c r="AF5" s="1">
        <v>13.8552614420348</v>
      </c>
      <c r="AG5" s="1">
        <v>13.970121972356299</v>
      </c>
      <c r="AH5" s="1">
        <v>14.1404907749413</v>
      </c>
      <c r="AI5" s="1">
        <v>14.3291908799374</v>
      </c>
      <c r="AJ5" s="1">
        <v>14.497999999999999</v>
      </c>
      <c r="AK5" s="1">
        <v>14.624726271233</v>
      </c>
      <c r="AL5" s="1">
        <v>14.771325958418901</v>
      </c>
      <c r="AM5" s="1">
        <v>15.0065178987902</v>
      </c>
      <c r="AN5" s="1">
        <v>15.4001324577404</v>
      </c>
      <c r="AO5" s="1">
        <v>16.021999999937101</v>
      </c>
      <c r="AP5" s="1">
        <v>16.905472216728398</v>
      </c>
      <c r="AQ5" s="1">
        <v>17.937986106955901</v>
      </c>
      <c r="AR5" s="1">
        <v>18.970499999982401</v>
      </c>
      <c r="AS5" s="1">
        <v>19.9533333328298</v>
      </c>
    </row>
    <row r="6" spans="2:45" ht="18" x14ac:dyDescent="0.4">
      <c r="B6" s="106"/>
      <c r="C6" s="106"/>
      <c r="D6" s="106"/>
      <c r="E6" s="106"/>
      <c r="F6" s="106"/>
      <c r="G6" s="61">
        <v>148.54795402438896</v>
      </c>
      <c r="H6" s="61">
        <v>147.42976019412365</v>
      </c>
      <c r="I6" s="61">
        <v>146.67772392673464</v>
      </c>
      <c r="J6" s="61">
        <v>146.08883839401247</v>
      </c>
      <c r="K6" s="61">
        <v>145.60166633574315</v>
      </c>
      <c r="L6" s="61">
        <v>145.18149279005803</v>
      </c>
      <c r="M6" s="61">
        <v>144.79839528619439</v>
      </c>
      <c r="N6" s="61">
        <v>144.43168619059958</v>
      </c>
      <c r="O6" s="61">
        <v>144.06821969430266</v>
      </c>
      <c r="P6" s="61">
        <v>143.70308931846913</v>
      </c>
      <c r="Q6" s="61">
        <v>143.34810779197139</v>
      </c>
      <c r="R6" s="61">
        <v>142.97695208772356</v>
      </c>
      <c r="S6" s="61">
        <v>142.5791734853976</v>
      </c>
      <c r="T6" s="61">
        <v>142.13213236874273</v>
      </c>
      <c r="U6" s="61">
        <v>141.60070138677477</v>
      </c>
      <c r="V6" s="61">
        <v>140.93697731952091</v>
      </c>
      <c r="W6" s="61">
        <v>140.09443917145111</v>
      </c>
      <c r="X6" s="61">
        <v>138.99673134316262</v>
      </c>
      <c r="Y6" s="61">
        <v>137.37774132444824</v>
      </c>
      <c r="Z6" s="54"/>
      <c r="AA6" s="1">
        <v>148.55562585262501</v>
      </c>
      <c r="AB6" s="1">
        <v>147.43737718705199</v>
      </c>
      <c r="AC6" s="1">
        <v>146.685302289367</v>
      </c>
      <c r="AD6" s="1">
        <v>146.09638646832599</v>
      </c>
      <c r="AE6" s="1">
        <v>145.609190040248</v>
      </c>
      <c r="AF6" s="1">
        <v>145.18899625837199</v>
      </c>
      <c r="AG6" s="1">
        <v>144.80588074581999</v>
      </c>
      <c r="AH6" s="1">
        <v>144.439154261201</v>
      </c>
      <c r="AI6" s="1">
        <v>144.07567015363099</v>
      </c>
      <c r="AJ6" s="1">
        <v>143.710504368264</v>
      </c>
      <c r="AK6" s="1">
        <v>143.35548819559801</v>
      </c>
      <c r="AL6" s="1">
        <v>142.984314038186</v>
      </c>
      <c r="AM6" s="1">
        <v>142.58651602450001</v>
      </c>
      <c r="AN6" s="1">
        <v>142.139453281595</v>
      </c>
      <c r="AO6" s="1">
        <v>141.60799611034901</v>
      </c>
      <c r="AP6" s="1">
        <v>140.94423845534001</v>
      </c>
      <c r="AQ6" s="1">
        <v>140.101656500498</v>
      </c>
      <c r="AR6" s="1">
        <v>139.003891641688</v>
      </c>
      <c r="AS6" s="1">
        <v>137.38482091998901</v>
      </c>
    </row>
    <row r="7" spans="2:45" ht="18" x14ac:dyDescent="0.4">
      <c r="B7" s="106"/>
      <c r="C7" s="106"/>
      <c r="D7" s="106"/>
      <c r="E7" s="106"/>
      <c r="F7" s="106"/>
      <c r="G7" s="57">
        <v>6.0142059486160852E-2</v>
      </c>
      <c r="H7" s="57">
        <v>0.13495034430306355</v>
      </c>
      <c r="I7" s="57">
        <v>0.21899676268365045</v>
      </c>
      <c r="J7" s="57">
        <v>0.31122353044314283</v>
      </c>
      <c r="K7" s="57">
        <v>0.41333672260057225</v>
      </c>
      <c r="L7" s="57">
        <v>0.52891549895107814</v>
      </c>
      <c r="M7" s="57">
        <v>0.66062152520395034</v>
      </c>
      <c r="N7" s="57">
        <v>0.81027541156093619</v>
      </c>
      <c r="O7" s="57">
        <v>0.97906294423947715</v>
      </c>
      <c r="P7" s="57">
        <v>1.1657758851018702</v>
      </c>
      <c r="Q7" s="57">
        <v>0.97797004527744325</v>
      </c>
      <c r="R7" s="57">
        <v>0.83095963674669171</v>
      </c>
      <c r="S7" s="57">
        <v>0.69847926476700173</v>
      </c>
      <c r="T7" s="57">
        <v>0.57991437990916894</v>
      </c>
      <c r="U7" s="57">
        <v>0.47308472573702809</v>
      </c>
      <c r="V7" s="57">
        <v>0.37387952973080185</v>
      </c>
      <c r="W7" s="57">
        <v>0.27628559900210264</v>
      </c>
      <c r="X7" s="57">
        <v>0.17818739999869512</v>
      </c>
      <c r="Y7" s="57">
        <v>8.2790053813196318E-2</v>
      </c>
      <c r="Z7" s="54"/>
      <c r="AA7" s="1">
        <v>6.0142965674263998E-2</v>
      </c>
      <c r="AB7" s="1">
        <v>0.13494993505104</v>
      </c>
      <c r="AC7" s="1">
        <v>0.21899536044562901</v>
      </c>
      <c r="AD7" s="1">
        <v>0.311222460406686</v>
      </c>
      <c r="AE7" s="1">
        <v>0.41333670180434701</v>
      </c>
      <c r="AF7" s="1">
        <v>0.52891598232711301</v>
      </c>
      <c r="AG7" s="1">
        <v>0.66062079849822197</v>
      </c>
      <c r="AH7" s="1">
        <v>0.81027175065190005</v>
      </c>
      <c r="AI7" s="1">
        <v>0.97905784411241803</v>
      </c>
      <c r="AJ7" s="1">
        <v>1.1657876689308599</v>
      </c>
      <c r="AK7" s="1">
        <v>0.97796548515574999</v>
      </c>
      <c r="AL7" s="1">
        <v>0.83095647837355802</v>
      </c>
      <c r="AM7" s="1">
        <v>0.69847874400195298</v>
      </c>
      <c r="AN7" s="1">
        <v>0.5799149569566</v>
      </c>
      <c r="AO7" s="1">
        <v>0.47308472616952502</v>
      </c>
      <c r="AP7" s="1">
        <v>0.37387832816186201</v>
      </c>
      <c r="AQ7" s="1">
        <v>0.27628387996363601</v>
      </c>
      <c r="AR7" s="1">
        <v>0.17818680939842799</v>
      </c>
      <c r="AS7" s="1">
        <v>8.2791228570491704E-2</v>
      </c>
    </row>
    <row r="8" spans="2:45" ht="18" x14ac:dyDescent="0.4">
      <c r="B8" s="107" t="str">
        <f>Input!C8</f>
        <v>1M</v>
      </c>
      <c r="C8" s="107">
        <f>Input!J8</f>
        <v>-3.3650000000000002</v>
      </c>
      <c r="D8" s="107">
        <f>Input!I8</f>
        <v>-1.52</v>
      </c>
      <c r="E8" s="107">
        <f>Input!K8</f>
        <v>0.46500000000000002</v>
      </c>
      <c r="F8" s="107">
        <f>Input!L8</f>
        <v>1.5669999999999999</v>
      </c>
      <c r="G8" s="60">
        <v>13.496435694042097</v>
      </c>
      <c r="H8" s="60">
        <v>13.429499999999999</v>
      </c>
      <c r="I8" s="60">
        <v>13.358818489016924</v>
      </c>
      <c r="J8" s="60">
        <v>13.291203267035728</v>
      </c>
      <c r="K8" s="60">
        <v>13.25</v>
      </c>
      <c r="L8" s="60">
        <v>13.251437460847839</v>
      </c>
      <c r="M8" s="60">
        <v>13.290757416971926</v>
      </c>
      <c r="N8" s="60">
        <v>13.35893669167676</v>
      </c>
      <c r="O8" s="60">
        <v>13.447544167803505</v>
      </c>
      <c r="P8" s="60">
        <v>13.545</v>
      </c>
      <c r="Q8" s="60">
        <v>13.643274430560218</v>
      </c>
      <c r="R8" s="60">
        <v>13.781878212532437</v>
      </c>
      <c r="S8" s="60">
        <v>13.99260609234609</v>
      </c>
      <c r="T8" s="60">
        <v>14.310349533626757</v>
      </c>
      <c r="U8" s="60">
        <v>14.77</v>
      </c>
      <c r="V8" s="60">
        <v>15.385900503760617</v>
      </c>
      <c r="W8" s="60">
        <v>16.090200251880308</v>
      </c>
      <c r="X8" s="60">
        <v>16.794499999999999</v>
      </c>
      <c r="Y8" s="60">
        <v>17.469333333333331</v>
      </c>
      <c r="Z8" s="54"/>
      <c r="AA8" s="1">
        <v>13.4964356815226</v>
      </c>
      <c r="AB8" s="1">
        <v>13.4295000000243</v>
      </c>
      <c r="AC8" s="1">
        <v>13.358818489480701</v>
      </c>
      <c r="AD8" s="1">
        <v>13.2912032770558</v>
      </c>
      <c r="AE8" s="1">
        <v>13.250000000031299</v>
      </c>
      <c r="AF8" s="1">
        <v>13.251437351920799</v>
      </c>
      <c r="AG8" s="1">
        <v>13.2907569598965</v>
      </c>
      <c r="AH8" s="1">
        <v>13.358935521168</v>
      </c>
      <c r="AI8" s="1">
        <v>13.4475417969344</v>
      </c>
      <c r="AJ8" s="1">
        <v>13.545</v>
      </c>
      <c r="AK8" s="1">
        <v>13.643276786286901</v>
      </c>
      <c r="AL8" s="1">
        <v>13.7818795156044</v>
      </c>
      <c r="AM8" s="1">
        <v>13.9926066983583</v>
      </c>
      <c r="AN8" s="1">
        <v>14.310349728512</v>
      </c>
      <c r="AO8" s="1">
        <v>14.7699999999993</v>
      </c>
      <c r="AP8" s="1">
        <v>15.385900454878801</v>
      </c>
      <c r="AQ8" s="1">
        <v>16.09020022736</v>
      </c>
      <c r="AR8" s="1">
        <v>16.7944999999986</v>
      </c>
      <c r="AS8" s="1">
        <v>17.469333333286599</v>
      </c>
    </row>
    <row r="9" spans="2:45" ht="18" x14ac:dyDescent="0.4">
      <c r="B9" s="107"/>
      <c r="C9" s="107"/>
      <c r="D9" s="107"/>
      <c r="E9" s="107"/>
      <c r="F9" s="107"/>
      <c r="G9" s="61">
        <v>152.91481824874165</v>
      </c>
      <c r="H9" s="61">
        <v>150.72623631524996</v>
      </c>
      <c r="I9" s="61">
        <v>149.26352290978207</v>
      </c>
      <c r="J9" s="61">
        <v>148.1141953152609</v>
      </c>
      <c r="K9" s="61">
        <v>147.14577223823855</v>
      </c>
      <c r="L9" s="61">
        <v>146.29151450446494</v>
      </c>
      <c r="M9" s="61">
        <v>145.50632586597894</v>
      </c>
      <c r="N9" s="61">
        <v>144.75940346577525</v>
      </c>
      <c r="O9" s="61">
        <v>144.02858557165743</v>
      </c>
      <c r="P9" s="61">
        <v>143.32064919565053</v>
      </c>
      <c r="Q9" s="61">
        <v>142.6664003328674</v>
      </c>
      <c r="R9" s="61">
        <v>141.96402072516221</v>
      </c>
      <c r="S9" s="61">
        <v>141.2126081848854</v>
      </c>
      <c r="T9" s="61">
        <v>140.37800303904743</v>
      </c>
      <c r="U9" s="61">
        <v>139.41006584413776</v>
      </c>
      <c r="V9" s="61">
        <v>138.24014242200076</v>
      </c>
      <c r="W9" s="61">
        <v>136.79156287883791</v>
      </c>
      <c r="X9" s="61">
        <v>134.92724587556694</v>
      </c>
      <c r="Y9" s="61">
        <v>132.19323434205825</v>
      </c>
      <c r="Z9" s="54"/>
      <c r="AA9" s="1">
        <v>152.91917748020401</v>
      </c>
      <c r="AB9" s="1">
        <v>150.73053884812501</v>
      </c>
      <c r="AC9" s="1">
        <v>149.26778385582301</v>
      </c>
      <c r="AD9" s="1">
        <v>148.118423354382</v>
      </c>
      <c r="AE9" s="1">
        <v>147.149973931652</v>
      </c>
      <c r="AF9" s="1">
        <v>146.29569449301499</v>
      </c>
      <c r="AG9" s="1">
        <v>145.510486576055</v>
      </c>
      <c r="AH9" s="1">
        <v>144.76354522494799</v>
      </c>
      <c r="AI9" s="1">
        <v>144.03270775833099</v>
      </c>
      <c r="AJ9" s="1">
        <v>143.324725462293</v>
      </c>
      <c r="AK9" s="1">
        <v>142.670433961903</v>
      </c>
      <c r="AL9" s="1">
        <v>141.968035039733</v>
      </c>
      <c r="AM9" s="1">
        <v>141.21660265595</v>
      </c>
      <c r="AN9" s="1">
        <v>140.381976201941</v>
      </c>
      <c r="AO9" s="1">
        <v>139.414013793615</v>
      </c>
      <c r="AP9" s="1">
        <v>138.24405829085501</v>
      </c>
      <c r="AQ9" s="1">
        <v>136.795437205094</v>
      </c>
      <c r="AR9" s="1">
        <v>134.93106648095201</v>
      </c>
      <c r="AS9" s="1">
        <v>132.19698154328501</v>
      </c>
    </row>
    <row r="10" spans="2:45" ht="18" x14ac:dyDescent="0.4">
      <c r="B10" s="107"/>
      <c r="C10" s="107"/>
      <c r="D10" s="107"/>
      <c r="E10" s="107"/>
      <c r="F10" s="107"/>
      <c r="G10" s="57">
        <v>0.11681972099451324</v>
      </c>
      <c r="H10" s="57">
        <v>0.2638701316151848</v>
      </c>
      <c r="I10" s="57">
        <v>0.43147795072280903</v>
      </c>
      <c r="J10" s="57">
        <v>0.61791879002862726</v>
      </c>
      <c r="K10" s="57">
        <v>0.82455844537852019</v>
      </c>
      <c r="L10" s="57">
        <v>1.0547565659773182</v>
      </c>
      <c r="M10" s="57">
        <v>1.3120359978821738</v>
      </c>
      <c r="N10" s="57">
        <v>1.6002589501317066</v>
      </c>
      <c r="O10" s="57">
        <v>1.9239905875573708</v>
      </c>
      <c r="P10" s="57">
        <v>2.276066902072349</v>
      </c>
      <c r="Q10" s="57">
        <v>1.8720082824984219</v>
      </c>
      <c r="R10" s="57">
        <v>1.59266340117361</v>
      </c>
      <c r="S10" s="57">
        <v>1.3392356272707575</v>
      </c>
      <c r="T10" s="57">
        <v>1.1090439066669395</v>
      </c>
      <c r="U10" s="57">
        <v>0.89824736445991793</v>
      </c>
      <c r="V10" s="57">
        <v>0.70134067387044163</v>
      </c>
      <c r="W10" s="57">
        <v>0.5111488669548796</v>
      </c>
      <c r="X10" s="57">
        <v>0.32559385157984699</v>
      </c>
      <c r="Y10" s="57">
        <v>0.14972689258078309</v>
      </c>
      <c r="Z10" s="54"/>
      <c r="AA10" s="1">
        <v>0.116821535983696</v>
      </c>
      <c r="AB10" s="1">
        <v>0.26386941599189501</v>
      </c>
      <c r="AC10" s="1">
        <v>0.43147528013808101</v>
      </c>
      <c r="AD10" s="1">
        <v>0.61791682321063501</v>
      </c>
      <c r="AE10" s="1">
        <v>0.82455870464416803</v>
      </c>
      <c r="AF10" s="1">
        <v>1.0547580215399299</v>
      </c>
      <c r="AG10" s="1">
        <v>1.31203522042875</v>
      </c>
      <c r="AH10" s="1">
        <v>1.6002526498721801</v>
      </c>
      <c r="AI10" s="1">
        <v>1.92398263704023</v>
      </c>
      <c r="AJ10" s="1">
        <v>2.2760849876869398</v>
      </c>
      <c r="AK10" s="1">
        <v>1.87200060706932</v>
      </c>
      <c r="AL10" s="1">
        <v>1.5926584044015899</v>
      </c>
      <c r="AM10" s="1">
        <v>1.33923534787481</v>
      </c>
      <c r="AN10" s="1">
        <v>1.10904547407448</v>
      </c>
      <c r="AO10" s="1">
        <v>0.89824770394997</v>
      </c>
      <c r="AP10" s="1">
        <v>0.70133865193890799</v>
      </c>
      <c r="AQ10" s="1">
        <v>0.51114584564856402</v>
      </c>
      <c r="AR10" s="1">
        <v>0.32559279586787099</v>
      </c>
      <c r="AS10" s="1">
        <v>0.14972897326729301</v>
      </c>
    </row>
    <row r="11" spans="2:45" ht="18" x14ac:dyDescent="0.4">
      <c r="B11" s="106" t="str">
        <f>Input!C9</f>
        <v>2M</v>
      </c>
      <c r="C11" s="106">
        <f>Input!J9</f>
        <v>-2.665</v>
      </c>
      <c r="D11" s="106">
        <f>Input!I9</f>
        <v>-1.35</v>
      </c>
      <c r="E11" s="106">
        <f>Input!K9</f>
        <v>0.48700000000000199</v>
      </c>
      <c r="F11" s="106">
        <f>Input!L9</f>
        <v>1.655</v>
      </c>
      <c r="G11" s="60">
        <v>13.867287276423729</v>
      </c>
      <c r="H11" s="60">
        <v>13.667500000000041</v>
      </c>
      <c r="I11" s="60">
        <v>13.473073541134708</v>
      </c>
      <c r="J11" s="60">
        <v>13.290268559613704</v>
      </c>
      <c r="K11" s="60">
        <v>13.157000000000005</v>
      </c>
      <c r="L11" s="60">
        <v>13.097988847596762</v>
      </c>
      <c r="M11" s="60">
        <v>13.103226942997381</v>
      </c>
      <c r="N11" s="60">
        <v>13.156827372054916</v>
      </c>
      <c r="O11" s="60">
        <v>13.244586609942905</v>
      </c>
      <c r="P11" s="60">
        <v>13.345000000000001</v>
      </c>
      <c r="Q11" s="60">
        <v>13.444073340092846</v>
      </c>
      <c r="R11" s="60">
        <v>13.584072899099292</v>
      </c>
      <c r="S11" s="60">
        <v>13.787936622249951</v>
      </c>
      <c r="T11" s="60">
        <v>14.085600369298849</v>
      </c>
      <c r="U11" s="60">
        <v>14.507000000000003</v>
      </c>
      <c r="V11" s="60">
        <v>15.064276085531242</v>
      </c>
      <c r="W11" s="60">
        <v>15.698388042765622</v>
      </c>
      <c r="X11" s="60">
        <v>16.3325</v>
      </c>
      <c r="Y11" s="60">
        <v>16.940999999999999</v>
      </c>
      <c r="Z11" s="54"/>
      <c r="AA11" s="1">
        <v>13.8672881812399</v>
      </c>
      <c r="AB11" s="1">
        <v>13.6675000000739</v>
      </c>
      <c r="AC11" s="1">
        <v>13.4730734458297</v>
      </c>
      <c r="AD11" s="1">
        <v>13.2902687541568</v>
      </c>
      <c r="AE11" s="1">
        <v>13.157000002624599</v>
      </c>
      <c r="AF11" s="1">
        <v>13.0979870360018</v>
      </c>
      <c r="AG11" s="1">
        <v>13.1032203024553</v>
      </c>
      <c r="AH11" s="1">
        <v>13.1568116013684</v>
      </c>
      <c r="AI11" s="1">
        <v>13.244556193469901</v>
      </c>
      <c r="AJ11" s="1">
        <v>13.345000000000001</v>
      </c>
      <c r="AK11" s="1">
        <v>13.4441037473806</v>
      </c>
      <c r="AL11" s="1">
        <v>13.584091569635801</v>
      </c>
      <c r="AM11" s="1">
        <v>13.787946307275099</v>
      </c>
      <c r="AN11" s="1">
        <v>14.0856038297451</v>
      </c>
      <c r="AO11" s="1">
        <v>14.506999997837699</v>
      </c>
      <c r="AP11" s="1">
        <v>15.06427516253</v>
      </c>
      <c r="AQ11" s="1">
        <v>15.698387581240301</v>
      </c>
      <c r="AR11" s="1">
        <v>16.332499999999499</v>
      </c>
      <c r="AS11" s="1">
        <v>16.940999999984001</v>
      </c>
    </row>
    <row r="12" spans="2:45" ht="18" x14ac:dyDescent="0.4">
      <c r="B12" s="106"/>
      <c r="C12" s="106"/>
      <c r="D12" s="106"/>
      <c r="E12" s="106"/>
      <c r="F12" s="106"/>
      <c r="G12" s="61">
        <v>156.79542952391807</v>
      </c>
      <c r="H12" s="61">
        <v>153.45412995806424</v>
      </c>
      <c r="I12" s="61">
        <v>151.24382854304466</v>
      </c>
      <c r="J12" s="61">
        <v>149.53022577283789</v>
      </c>
      <c r="K12" s="61">
        <v>148.11333004393543</v>
      </c>
      <c r="L12" s="61">
        <v>146.88733471053854</v>
      </c>
      <c r="M12" s="61">
        <v>145.77537454631991</v>
      </c>
      <c r="N12" s="61">
        <v>144.72468513875342</v>
      </c>
      <c r="O12" s="61">
        <v>143.69792961074032</v>
      </c>
      <c r="P12" s="61">
        <v>142.73984951465908</v>
      </c>
      <c r="Q12" s="61">
        <v>141.88522748046535</v>
      </c>
      <c r="R12" s="61">
        <v>140.93024905401793</v>
      </c>
      <c r="S12" s="61">
        <v>139.90989666425017</v>
      </c>
      <c r="T12" s="61">
        <v>138.78126177804083</v>
      </c>
      <c r="U12" s="61">
        <v>137.48173151798613</v>
      </c>
      <c r="V12" s="61">
        <v>135.92533979510085</v>
      </c>
      <c r="W12" s="61">
        <v>134.01334143558998</v>
      </c>
      <c r="X12" s="61">
        <v>131.56612789836916</v>
      </c>
      <c r="Y12" s="61">
        <v>127.99492119856346</v>
      </c>
      <c r="Z12" s="54"/>
      <c r="AA12" s="1">
        <v>156.806931661514</v>
      </c>
      <c r="AB12" s="1">
        <v>153.465422213073</v>
      </c>
      <c r="AC12" s="1">
        <v>151.25498106687201</v>
      </c>
      <c r="AD12" s="1">
        <v>149.541273227831</v>
      </c>
      <c r="AE12" s="1">
        <v>148.12429674929899</v>
      </c>
      <c r="AF12" s="1">
        <v>146.898238828448</v>
      </c>
      <c r="AG12" s="1">
        <v>145.78622848393201</v>
      </c>
      <c r="AH12" s="1">
        <v>144.73549721869901</v>
      </c>
      <c r="AI12" s="1">
        <v>143.708707152746</v>
      </c>
      <c r="AJ12" s="1">
        <v>142.750149263715</v>
      </c>
      <c r="AK12" s="1">
        <v>141.89509559163599</v>
      </c>
      <c r="AL12" s="1">
        <v>140.94007532854201</v>
      </c>
      <c r="AM12" s="1">
        <v>139.91967488373399</v>
      </c>
      <c r="AN12" s="1">
        <v>138.79098278863501</v>
      </c>
      <c r="AO12" s="1">
        <v>137.49138036805601</v>
      </c>
      <c r="AP12" s="1">
        <v>135.93489448094999</v>
      </c>
      <c r="AQ12" s="1">
        <v>134.02277438933999</v>
      </c>
      <c r="AR12" s="1">
        <v>131.57540305588901</v>
      </c>
      <c r="AS12" s="1">
        <v>128.003971163057</v>
      </c>
    </row>
    <row r="13" spans="2:45" ht="18" x14ac:dyDescent="0.4">
      <c r="B13" s="106"/>
      <c r="C13" s="106"/>
      <c r="D13" s="106"/>
      <c r="E13" s="106"/>
      <c r="F13" s="106"/>
      <c r="G13" s="57">
        <v>0.16872918775993889</v>
      </c>
      <c r="H13" s="57">
        <v>0.3778072317005321</v>
      </c>
      <c r="I13" s="57">
        <v>0.61265958033859935</v>
      </c>
      <c r="J13" s="57">
        <v>0.87050125532949318</v>
      </c>
      <c r="K13" s="57">
        <v>1.154409833310428</v>
      </c>
      <c r="L13" s="57">
        <v>1.4711941011894081</v>
      </c>
      <c r="M13" s="57">
        <v>1.8272557869388399</v>
      </c>
      <c r="N13" s="57">
        <v>2.229133950841518</v>
      </c>
      <c r="O13" s="57">
        <v>2.6842800811975565</v>
      </c>
      <c r="P13" s="57">
        <v>3.1627149245853827</v>
      </c>
      <c r="Q13" s="57">
        <v>2.5709372638209844</v>
      </c>
      <c r="R13" s="57">
        <v>2.1896154855736731</v>
      </c>
      <c r="S13" s="57">
        <v>1.8419687222807239</v>
      </c>
      <c r="T13" s="57">
        <v>1.5246194495148671</v>
      </c>
      <c r="U13" s="57">
        <v>1.2328578583855299</v>
      </c>
      <c r="V13" s="57">
        <v>0.96003309325937292</v>
      </c>
      <c r="W13" s="57">
        <v>0.69755639066526653</v>
      </c>
      <c r="X13" s="57">
        <v>0.44311539017142582</v>
      </c>
      <c r="Y13" s="57">
        <v>0.20331370490005787</v>
      </c>
      <c r="Z13" s="54"/>
      <c r="AA13" s="1">
        <v>0.16873074890777301</v>
      </c>
      <c r="AB13" s="1">
        <v>0.37780304939439302</v>
      </c>
      <c r="AC13" s="1">
        <v>0.61264959377324102</v>
      </c>
      <c r="AD13" s="1">
        <v>0.87048829182476695</v>
      </c>
      <c r="AE13" s="1">
        <v>1.1543947127008301</v>
      </c>
      <c r="AF13" s="1">
        <v>1.4711734078762599</v>
      </c>
      <c r="AG13" s="1">
        <v>1.8272218749049101</v>
      </c>
      <c r="AH13" s="1">
        <v>2.2290783904850699</v>
      </c>
      <c r="AI13" s="1">
        <v>2.6842039195508498</v>
      </c>
      <c r="AJ13" s="1">
        <v>3.1628651947588402</v>
      </c>
      <c r="AK13" s="1">
        <v>2.5708830323079299</v>
      </c>
      <c r="AL13" s="1">
        <v>2.1895738275652099</v>
      </c>
      <c r="AM13" s="1">
        <v>1.84194104119966</v>
      </c>
      <c r="AN13" s="1">
        <v>1.5246008152750901</v>
      </c>
      <c r="AO13" s="1">
        <v>1.2328431642064399</v>
      </c>
      <c r="AP13" s="1">
        <v>0.96001991237098105</v>
      </c>
      <c r="AQ13" s="1">
        <v>0.69754569655945897</v>
      </c>
      <c r="AR13" s="1">
        <v>0.44311034457111398</v>
      </c>
      <c r="AS13" s="1">
        <v>0.20331515603787501</v>
      </c>
    </row>
    <row r="14" spans="2:45" ht="18" x14ac:dyDescent="0.4">
      <c r="B14" s="107" t="str">
        <f>Input!C10</f>
        <v>3M</v>
      </c>
      <c r="C14" s="107">
        <f>Input!J10</f>
        <v>-2.2250000000000001</v>
      </c>
      <c r="D14" s="107">
        <f>Input!I10</f>
        <v>-1.095</v>
      </c>
      <c r="E14" s="107">
        <f>Input!K10</f>
        <v>0.48750000000000099</v>
      </c>
      <c r="F14" s="107">
        <f>Input!L10</f>
        <v>1.7230000000000001</v>
      </c>
      <c r="G14" s="60">
        <v>13.955708511626627</v>
      </c>
      <c r="H14" s="60">
        <v>13.683500000000029</v>
      </c>
      <c r="I14" s="60">
        <v>13.427446778376629</v>
      </c>
      <c r="J14" s="60">
        <v>13.190154359581808</v>
      </c>
      <c r="K14" s="60">
        <v>13.013</v>
      </c>
      <c r="L14" s="60">
        <v>12.921242602617619</v>
      </c>
      <c r="M14" s="60">
        <v>12.900875521449167</v>
      </c>
      <c r="N14" s="60">
        <v>12.932263341070419</v>
      </c>
      <c r="O14" s="60">
        <v>12.998247979786544</v>
      </c>
      <c r="P14" s="60">
        <v>13.073</v>
      </c>
      <c r="Q14" s="60">
        <v>13.144443266849116</v>
      </c>
      <c r="R14" s="60">
        <v>13.256011531370454</v>
      </c>
      <c r="S14" s="60">
        <v>13.432071229325871</v>
      </c>
      <c r="T14" s="60">
        <v>13.705206129330632</v>
      </c>
      <c r="U14" s="60">
        <v>14.108000000000001</v>
      </c>
      <c r="V14" s="60">
        <v>14.654085753573376</v>
      </c>
      <c r="W14" s="60">
        <v>15.28129287678669</v>
      </c>
      <c r="X14" s="60">
        <v>15.9085</v>
      </c>
      <c r="Y14" s="60">
        <v>16.50866666666667</v>
      </c>
      <c r="Z14" s="54"/>
      <c r="AA14" s="1">
        <v>13.9557108184515</v>
      </c>
      <c r="AB14" s="1">
        <v>13.68350000017</v>
      </c>
      <c r="AC14" s="1">
        <v>13.4274461131713</v>
      </c>
      <c r="AD14" s="1">
        <v>13.190153996895001</v>
      </c>
      <c r="AE14" s="1">
        <v>13.0130000007814</v>
      </c>
      <c r="AF14" s="1">
        <v>12.9212414590493</v>
      </c>
      <c r="AG14" s="1">
        <v>12.900869516131699</v>
      </c>
      <c r="AH14" s="1">
        <v>12.932246781997501</v>
      </c>
      <c r="AI14" s="1">
        <v>12.9982133852552</v>
      </c>
      <c r="AJ14" s="1">
        <v>13.073</v>
      </c>
      <c r="AK14" s="1">
        <v>13.144475486311601</v>
      </c>
      <c r="AL14" s="1">
        <v>13.256029511591001</v>
      </c>
      <c r="AM14" s="1">
        <v>13.4320796761056</v>
      </c>
      <c r="AN14" s="1">
        <v>13.705208874936</v>
      </c>
      <c r="AO14" s="1">
        <v>14.1079999986529</v>
      </c>
      <c r="AP14" s="1">
        <v>14.654085060341099</v>
      </c>
      <c r="AQ14" s="1">
        <v>15.2812925301569</v>
      </c>
      <c r="AR14" s="1">
        <v>15.9084999999996</v>
      </c>
      <c r="AS14" s="1">
        <v>16.508666666658598</v>
      </c>
    </row>
    <row r="15" spans="2:45" ht="18" x14ac:dyDescent="0.4">
      <c r="B15" s="107"/>
      <c r="C15" s="107"/>
      <c r="D15" s="107"/>
      <c r="E15" s="107"/>
      <c r="F15" s="107"/>
      <c r="G15" s="61">
        <v>159.91302065943816</v>
      </c>
      <c r="H15" s="61">
        <v>155.5787670430708</v>
      </c>
      <c r="I15" s="61">
        <v>152.73590796035703</v>
      </c>
      <c r="J15" s="61">
        <v>150.55030546541201</v>
      </c>
      <c r="K15" s="61">
        <v>148.76005117473397</v>
      </c>
      <c r="L15" s="61">
        <v>147.22418679339773</v>
      </c>
      <c r="M15" s="61">
        <v>145.83935124824572</v>
      </c>
      <c r="N15" s="61">
        <v>144.53547358384364</v>
      </c>
      <c r="O15" s="61">
        <v>143.26385038463002</v>
      </c>
      <c r="P15" s="61">
        <v>142.12957884230386</v>
      </c>
      <c r="Q15" s="61">
        <v>141.14978192241662</v>
      </c>
      <c r="R15" s="61">
        <v>140.0103508501245</v>
      </c>
      <c r="S15" s="61">
        <v>138.79646093128076</v>
      </c>
      <c r="T15" s="61">
        <v>137.45592343349799</v>
      </c>
      <c r="U15" s="61">
        <v>135.91224355762873</v>
      </c>
      <c r="V15" s="61">
        <v>134.06125133342391</v>
      </c>
      <c r="W15" s="61">
        <v>131.78768491589707</v>
      </c>
      <c r="X15" s="61">
        <v>128.88492100593618</v>
      </c>
      <c r="Y15" s="61">
        <v>124.66771171349531</v>
      </c>
      <c r="Z15" s="54"/>
      <c r="AA15" s="1">
        <v>159.93113450771901</v>
      </c>
      <c r="AB15" s="1">
        <v>155.596451358102</v>
      </c>
      <c r="AC15" s="1">
        <v>152.75331232955699</v>
      </c>
      <c r="AD15" s="1">
        <v>150.56750121985999</v>
      </c>
      <c r="AE15" s="1">
        <v>148.777087163922</v>
      </c>
      <c r="AF15" s="1">
        <v>147.24109904702999</v>
      </c>
      <c r="AG15" s="1">
        <v>145.85616446337301</v>
      </c>
      <c r="AH15" s="1">
        <v>144.55220507442399</v>
      </c>
      <c r="AI15" s="1">
        <v>143.28051554743101</v>
      </c>
      <c r="AJ15" s="1">
        <v>142.14535252241399</v>
      </c>
      <c r="AK15" s="1">
        <v>141.16477705413601</v>
      </c>
      <c r="AL15" s="1">
        <v>140.025271264559</v>
      </c>
      <c r="AM15" s="1">
        <v>138.81129393331301</v>
      </c>
      <c r="AN15" s="1">
        <v>137.47065085033799</v>
      </c>
      <c r="AO15" s="1">
        <v>135.926837692493</v>
      </c>
      <c r="AP15" s="1">
        <v>134.07567293592399</v>
      </c>
      <c r="AQ15" s="1">
        <v>131.801885463567</v>
      </c>
      <c r="AR15" s="1">
        <v>128.89883599229299</v>
      </c>
      <c r="AS15" s="1">
        <v>124.68121622008201</v>
      </c>
    </row>
    <row r="16" spans="2:45" ht="18" x14ac:dyDescent="0.4">
      <c r="B16" s="107"/>
      <c r="C16" s="107"/>
      <c r="D16" s="107"/>
      <c r="E16" s="107"/>
      <c r="F16" s="107"/>
      <c r="G16" s="57">
        <v>0.2113231861592188</v>
      </c>
      <c r="H16" s="57">
        <v>0.47105756884577077</v>
      </c>
      <c r="I16" s="57">
        <v>0.76086859633614323</v>
      </c>
      <c r="J16" s="57">
        <v>1.0772465496665777</v>
      </c>
      <c r="K16" s="57">
        <v>1.4246101956969723</v>
      </c>
      <c r="L16" s="57">
        <v>1.8122235399869262</v>
      </c>
      <c r="M16" s="57">
        <v>2.2483591373998411</v>
      </c>
      <c r="N16" s="57">
        <v>2.7412080610055307</v>
      </c>
      <c r="O16" s="57">
        <v>3.2999706607882913</v>
      </c>
      <c r="P16" s="57">
        <v>3.8611844266717648</v>
      </c>
      <c r="Q16" s="57">
        <v>3.1081952596197335</v>
      </c>
      <c r="R16" s="57">
        <v>2.6438062188010423</v>
      </c>
      <c r="S16" s="57">
        <v>2.2214308929905857</v>
      </c>
      <c r="T16" s="57">
        <v>1.8372417810015278</v>
      </c>
      <c r="U16" s="57">
        <v>1.4854219306222445</v>
      </c>
      <c r="V16" s="57">
        <v>1.1573833037303953</v>
      </c>
      <c r="W16" s="57">
        <v>0.84176918767639242</v>
      </c>
      <c r="X16" s="57">
        <v>0.53523473906919528</v>
      </c>
      <c r="Y16" s="57">
        <v>0.24578970814391288</v>
      </c>
      <c r="Z16" s="54"/>
      <c r="AA16" s="1">
        <v>0.211324401867614</v>
      </c>
      <c r="AB16" s="1">
        <v>0.47105009107497903</v>
      </c>
      <c r="AC16" s="1">
        <v>0.76085172003000101</v>
      </c>
      <c r="AD16" s="1">
        <v>1.0772231518942199</v>
      </c>
      <c r="AE16" s="1">
        <v>1.42458042493556</v>
      </c>
      <c r="AF16" s="1">
        <v>1.8121818631485</v>
      </c>
      <c r="AG16" s="1">
        <v>2.2482941982120699</v>
      </c>
      <c r="AH16" s="1">
        <v>2.7411070237925199</v>
      </c>
      <c r="AI16" s="1">
        <v>3.2998326452286899</v>
      </c>
      <c r="AJ16" s="1">
        <v>3.8614537371898199</v>
      </c>
      <c r="AK16" s="1">
        <v>3.1080981433022798</v>
      </c>
      <c r="AL16" s="1">
        <v>2.64373104025031</v>
      </c>
      <c r="AM16" s="1">
        <v>2.2213784193044401</v>
      </c>
      <c r="AN16" s="1">
        <v>1.8372051829154601</v>
      </c>
      <c r="AO16" s="1">
        <v>1.4853941505177699</v>
      </c>
      <c r="AP16" s="1">
        <v>1.1573605487462799</v>
      </c>
      <c r="AQ16" s="1">
        <v>0.84175191628805401</v>
      </c>
      <c r="AR16" s="1">
        <v>0.535226195530072</v>
      </c>
      <c r="AS16" s="1">
        <v>0.245790504253658</v>
      </c>
    </row>
    <row r="17" spans="2:45" ht="18" x14ac:dyDescent="0.4">
      <c r="B17" s="106" t="str">
        <f>Input!C11</f>
        <v>6M</v>
      </c>
      <c r="C17" s="106">
        <f>Input!J11</f>
        <v>-1.0349999999999999</v>
      </c>
      <c r="D17" s="106">
        <f>Input!I11</f>
        <v>-0.55000000000000104</v>
      </c>
      <c r="E17" s="106">
        <f>Input!K11</f>
        <v>0.51</v>
      </c>
      <c r="F17" s="106">
        <f>Input!L11</f>
        <v>1.748</v>
      </c>
      <c r="G17" s="60">
        <v>13.934701764585238</v>
      </c>
      <c r="H17" s="60">
        <v>13.500500000000015</v>
      </c>
      <c r="I17" s="60">
        <v>13.117405305500702</v>
      </c>
      <c r="J17" s="60">
        <v>12.77228421645612</v>
      </c>
      <c r="K17" s="60">
        <v>12.504999999999999</v>
      </c>
      <c r="L17" s="60">
        <v>12.336877846032731</v>
      </c>
      <c r="M17" s="60">
        <v>12.249890864551951</v>
      </c>
      <c r="N17" s="60">
        <v>12.222831396783334</v>
      </c>
      <c r="O17" s="60">
        <v>12.23856810198075</v>
      </c>
      <c r="P17" s="60">
        <v>12.27</v>
      </c>
      <c r="Q17" s="60">
        <v>12.305094002816279</v>
      </c>
      <c r="R17" s="60">
        <v>12.379972254400563</v>
      </c>
      <c r="S17" s="60">
        <v>12.512210514699387</v>
      </c>
      <c r="T17" s="60">
        <v>12.728367018352587</v>
      </c>
      <c r="U17" s="60">
        <v>13.055</v>
      </c>
      <c r="V17" s="60">
        <v>13.502821762455316</v>
      </c>
      <c r="W17" s="60">
        <v>14.019160881227657</v>
      </c>
      <c r="X17" s="60">
        <v>14.535499999999999</v>
      </c>
      <c r="Y17" s="60">
        <v>15.028999999999998</v>
      </c>
      <c r="Z17" s="54"/>
      <c r="AA17" s="1">
        <v>13.9347233364724</v>
      </c>
      <c r="AB17" s="1">
        <v>13.5005000006886</v>
      </c>
      <c r="AC17" s="1">
        <v>13.1173954252522</v>
      </c>
      <c r="AD17" s="1">
        <v>12.772273505492899</v>
      </c>
      <c r="AE17" s="1">
        <v>12.5049999999967</v>
      </c>
      <c r="AF17" s="1">
        <v>12.336894926793899</v>
      </c>
      <c r="AG17" s="1">
        <v>12.2499148077389</v>
      </c>
      <c r="AH17" s="1">
        <v>12.2228361267856</v>
      </c>
      <c r="AI17" s="1">
        <v>12.2385132585392</v>
      </c>
      <c r="AJ17" s="1">
        <v>12.27</v>
      </c>
      <c r="AK17" s="1">
        <v>12.305176089207601</v>
      </c>
      <c r="AL17" s="1">
        <v>12.380023412143601</v>
      </c>
      <c r="AM17" s="1">
        <v>12.512237425256901</v>
      </c>
      <c r="AN17" s="1">
        <v>12.7283767482598</v>
      </c>
      <c r="AO17" s="1">
        <v>13.0549999996702</v>
      </c>
      <c r="AP17" s="1">
        <v>13.5028191507282</v>
      </c>
      <c r="AQ17" s="1">
        <v>14.019159575361</v>
      </c>
      <c r="AR17" s="1">
        <v>14.535500000835</v>
      </c>
      <c r="AS17" s="1">
        <v>15.0289999999979</v>
      </c>
    </row>
    <row r="18" spans="2:45" ht="18" x14ac:dyDescent="0.4">
      <c r="B18" s="106"/>
      <c r="C18" s="106"/>
      <c r="D18" s="106"/>
      <c r="E18" s="106"/>
      <c r="F18" s="106"/>
      <c r="G18" s="61">
        <v>165.33998106780149</v>
      </c>
      <c r="H18" s="61">
        <v>158.81373723907018</v>
      </c>
      <c r="I18" s="61">
        <v>154.62457701817664</v>
      </c>
      <c r="J18" s="61">
        <v>151.4641334608848</v>
      </c>
      <c r="K18" s="61">
        <v>148.922368082194</v>
      </c>
      <c r="L18" s="61">
        <v>146.77629308163708</v>
      </c>
      <c r="M18" s="61">
        <v>144.86602799935645</v>
      </c>
      <c r="N18" s="61">
        <v>143.08502873905229</v>
      </c>
      <c r="O18" s="61">
        <v>141.35908132777487</v>
      </c>
      <c r="P18" s="61">
        <v>140.03936969595679</v>
      </c>
      <c r="Q18" s="61">
        <v>138.96195027115303</v>
      </c>
      <c r="R18" s="61">
        <v>137.51304790049107</v>
      </c>
      <c r="S18" s="61">
        <v>135.97808442648412</v>
      </c>
      <c r="T18" s="61">
        <v>134.29531542115731</v>
      </c>
      <c r="U18" s="61">
        <v>132.37520322613318</v>
      </c>
      <c r="V18" s="61">
        <v>130.09609463031646</v>
      </c>
      <c r="W18" s="61">
        <v>127.32108357182598</v>
      </c>
      <c r="X18" s="61">
        <v>123.8021769584293</v>
      </c>
      <c r="Y18" s="61">
        <v>118.72258148416834</v>
      </c>
      <c r="Z18" s="54"/>
      <c r="AA18" s="1">
        <v>165.39566663020099</v>
      </c>
      <c r="AB18" s="1">
        <v>158.86752169770401</v>
      </c>
      <c r="AC18" s="1">
        <v>154.677187943192</v>
      </c>
      <c r="AD18" s="1">
        <v>151.51590644849901</v>
      </c>
      <c r="AE18" s="1">
        <v>148.97353310182601</v>
      </c>
      <c r="AF18" s="1">
        <v>146.82702021617601</v>
      </c>
      <c r="AG18" s="1">
        <v>144.916436208948</v>
      </c>
      <c r="AH18" s="1">
        <v>143.13521382627701</v>
      </c>
      <c r="AI18" s="1">
        <v>141.40914449797199</v>
      </c>
      <c r="AJ18" s="1">
        <v>140.08456274315299</v>
      </c>
      <c r="AK18" s="1">
        <v>139.00313006456699</v>
      </c>
      <c r="AL18" s="1">
        <v>137.554059681702</v>
      </c>
      <c r="AM18" s="1">
        <v>136.018868854478</v>
      </c>
      <c r="AN18" s="1">
        <v>134.33579646671799</v>
      </c>
      <c r="AO18" s="1">
        <v>132.41527771035501</v>
      </c>
      <c r="AP18" s="1">
        <v>130.13562650220501</v>
      </c>
      <c r="AQ18" s="1">
        <v>127.35991411236</v>
      </c>
      <c r="AR18" s="1">
        <v>123.84009812559</v>
      </c>
      <c r="AS18" s="1">
        <v>118.759173620561</v>
      </c>
    </row>
    <row r="19" spans="2:45" ht="18" x14ac:dyDescent="0.4">
      <c r="B19" s="106"/>
      <c r="C19" s="106"/>
      <c r="D19" s="106"/>
      <c r="E19" s="106"/>
      <c r="F19" s="106"/>
      <c r="G19" s="57">
        <v>0.29739349181190788</v>
      </c>
      <c r="H19" s="57">
        <v>0.65603263473831464</v>
      </c>
      <c r="I19" s="57">
        <v>1.0506236964312317</v>
      </c>
      <c r="J19" s="57">
        <v>1.4763564142138814</v>
      </c>
      <c r="K19" s="57">
        <v>1.9403126237621744</v>
      </c>
      <c r="L19" s="57">
        <v>2.4562580735374357</v>
      </c>
      <c r="M19" s="57">
        <v>3.036318783530052</v>
      </c>
      <c r="N19" s="57">
        <v>3.6929539671378349</v>
      </c>
      <c r="O19" s="57">
        <v>4.4409505004848331</v>
      </c>
      <c r="P19" s="57">
        <v>5.086299245485244</v>
      </c>
      <c r="Q19" s="57">
        <v>4.0594764797325755</v>
      </c>
      <c r="R19" s="57">
        <v>3.4477381530066027</v>
      </c>
      <c r="S19" s="57">
        <v>2.8915865172715338</v>
      </c>
      <c r="T19" s="57">
        <v>2.3857637644270779</v>
      </c>
      <c r="U19" s="57">
        <v>1.9228918581689656</v>
      </c>
      <c r="V19" s="57">
        <v>1.4925415534038897</v>
      </c>
      <c r="W19" s="57">
        <v>1.0812251613805468</v>
      </c>
      <c r="X19" s="57">
        <v>0.68499626966296523</v>
      </c>
      <c r="Y19" s="57">
        <v>0.31356480767290235</v>
      </c>
      <c r="Z19" s="54"/>
      <c r="AA19" s="1">
        <v>0.29738477929385398</v>
      </c>
      <c r="AB19" s="1">
        <v>0.65599124455110103</v>
      </c>
      <c r="AC19" s="1">
        <v>1.05053993948075</v>
      </c>
      <c r="AD19" s="1">
        <v>1.4762251417863601</v>
      </c>
      <c r="AE19" s="1">
        <v>1.9401234828187099</v>
      </c>
      <c r="AF19" s="1">
        <v>2.4559891639877698</v>
      </c>
      <c r="AG19" s="1">
        <v>3.0359320937077601</v>
      </c>
      <c r="AH19" s="1">
        <v>3.6923972186418399</v>
      </c>
      <c r="AI19" s="1">
        <v>4.4401717682282102</v>
      </c>
      <c r="AJ19" s="1">
        <v>5.0877705443887997</v>
      </c>
      <c r="AK19" s="1">
        <v>4.0589587405568803</v>
      </c>
      <c r="AL19" s="1">
        <v>3.4473353076998698</v>
      </c>
      <c r="AM19" s="1">
        <v>2.8912843652729001</v>
      </c>
      <c r="AN19" s="1">
        <v>2.3855410223979199</v>
      </c>
      <c r="AO19" s="1">
        <v>1.9227290407041999</v>
      </c>
      <c r="AP19" s="1">
        <v>1.4924250221177999</v>
      </c>
      <c r="AQ19" s="1">
        <v>1.0811479196190299</v>
      </c>
      <c r="AR19" s="1">
        <v>0.68495554351814503</v>
      </c>
      <c r="AS19" s="1">
        <v>0.31355483007028301</v>
      </c>
    </row>
    <row r="20" spans="2:45" ht="18" x14ac:dyDescent="0.4">
      <c r="B20" s="107" t="str">
        <f>Input!C12</f>
        <v>9M</v>
      </c>
      <c r="C20" s="107">
        <f>Input!J12</f>
        <v>-0.40000000000000202</v>
      </c>
      <c r="D20" s="107">
        <f>Input!I12</f>
        <v>-0.20000000000000301</v>
      </c>
      <c r="E20" s="107">
        <f>Input!K12</f>
        <v>0.51500000000000101</v>
      </c>
      <c r="F20" s="107">
        <f>Input!L12</f>
        <v>1.8374999999999999</v>
      </c>
      <c r="G20" s="60">
        <v>14.047502826525434</v>
      </c>
      <c r="H20" s="60">
        <v>13.482500000000053</v>
      </c>
      <c r="I20" s="60">
        <v>13.004636924835184</v>
      </c>
      <c r="J20" s="60">
        <v>12.584426914539716</v>
      </c>
      <c r="K20" s="60">
        <v>12.260000000000021</v>
      </c>
      <c r="L20" s="60">
        <v>12.048040992362273</v>
      </c>
      <c r="M20" s="60">
        <v>11.924000473581588</v>
      </c>
      <c r="N20" s="60">
        <v>11.862336503021412</v>
      </c>
      <c r="O20" s="60">
        <v>11.843135626084788</v>
      </c>
      <c r="P20" s="60">
        <v>11.845000000000001</v>
      </c>
      <c r="Q20" s="60">
        <v>11.852231351401993</v>
      </c>
      <c r="R20" s="60">
        <v>11.888995364234795</v>
      </c>
      <c r="S20" s="60">
        <v>11.982799998549268</v>
      </c>
      <c r="T20" s="60">
        <v>12.163262471439609</v>
      </c>
      <c r="U20" s="60">
        <v>12.460000000000003</v>
      </c>
      <c r="V20" s="60">
        <v>12.885535909078587</v>
      </c>
      <c r="W20" s="60">
        <v>13.384017954539296</v>
      </c>
      <c r="X20" s="60">
        <v>13.882500000000004</v>
      </c>
      <c r="Y20" s="60">
        <v>14.356666666666671</v>
      </c>
      <c r="Z20" s="54"/>
      <c r="AA20" s="1">
        <v>14.047574352757801</v>
      </c>
      <c r="AB20" s="1">
        <v>13.4824999999997</v>
      </c>
      <c r="AC20" s="1">
        <v>13.0046013485929</v>
      </c>
      <c r="AD20" s="1">
        <v>12.5843866097101</v>
      </c>
      <c r="AE20" s="1">
        <v>12.259999999992299</v>
      </c>
      <c r="AF20" s="1">
        <v>12.0481144705085</v>
      </c>
      <c r="AG20" s="1">
        <v>11.9241354225046</v>
      </c>
      <c r="AH20" s="1">
        <v>11.8624796220929</v>
      </c>
      <c r="AI20" s="1">
        <v>11.843197779489399</v>
      </c>
      <c r="AJ20" s="1">
        <v>11.845000000000001</v>
      </c>
      <c r="AK20" s="1">
        <v>11.8522436462929</v>
      </c>
      <c r="AL20" s="1">
        <v>11.888985386556801</v>
      </c>
      <c r="AM20" s="1">
        <v>11.982786258335601</v>
      </c>
      <c r="AN20" s="1">
        <v>12.1632549127335</v>
      </c>
      <c r="AO20" s="1">
        <v>12.4599999998394</v>
      </c>
      <c r="AP20" s="1">
        <v>12.8855383054659</v>
      </c>
      <c r="AQ20" s="1">
        <v>13.384019152731501</v>
      </c>
      <c r="AR20" s="1">
        <v>13.8825000005462</v>
      </c>
      <c r="AS20" s="1">
        <v>14.3566666666658</v>
      </c>
    </row>
    <row r="21" spans="2:45" ht="18" x14ac:dyDescent="0.4">
      <c r="B21" s="107"/>
      <c r="C21" s="107"/>
      <c r="D21" s="107"/>
      <c r="E21" s="107"/>
      <c r="F21" s="107"/>
      <c r="G21" s="61">
        <v>169.80735046201636</v>
      </c>
      <c r="H21" s="61">
        <v>161.21299090544957</v>
      </c>
      <c r="I21" s="61">
        <v>155.80493309481079</v>
      </c>
      <c r="J21" s="61">
        <v>151.78942768962298</v>
      </c>
      <c r="K21" s="61">
        <v>148.60615861736014</v>
      </c>
      <c r="L21" s="61">
        <v>145.94816748122091</v>
      </c>
      <c r="M21" s="61">
        <v>143.59939161715809</v>
      </c>
      <c r="N21" s="61">
        <v>141.41935617448112</v>
      </c>
      <c r="O21" s="61">
        <v>139.31196415706071</v>
      </c>
      <c r="P21" s="61">
        <v>137.97971963563816</v>
      </c>
      <c r="Q21" s="61">
        <v>136.94108000786576</v>
      </c>
      <c r="R21" s="61">
        <v>135.26520643009414</v>
      </c>
      <c r="S21" s="61">
        <v>133.49946280571879</v>
      </c>
      <c r="T21" s="61">
        <v>131.57099303030245</v>
      </c>
      <c r="U21" s="61">
        <v>129.37334205845389</v>
      </c>
      <c r="V21" s="61">
        <v>126.76328517576853</v>
      </c>
      <c r="W21" s="61">
        <v>123.58760461822921</v>
      </c>
      <c r="X21" s="61">
        <v>119.57480742502975</v>
      </c>
      <c r="Y21" s="61">
        <v>113.81650971017723</v>
      </c>
      <c r="Z21" s="54"/>
      <c r="AA21" s="1">
        <v>169.92047759996501</v>
      </c>
      <c r="AB21" s="1">
        <v>161.32109253770801</v>
      </c>
      <c r="AC21" s="1">
        <v>155.91002685781999</v>
      </c>
      <c r="AD21" s="1">
        <v>151.892432779704</v>
      </c>
      <c r="AE21" s="1">
        <v>148.707704505919</v>
      </c>
      <c r="AF21" s="1">
        <v>146.04870857868099</v>
      </c>
      <c r="AG21" s="1">
        <v>143.699235261052</v>
      </c>
      <c r="AH21" s="1">
        <v>141.51875221248599</v>
      </c>
      <c r="AI21" s="1">
        <v>139.411188409294</v>
      </c>
      <c r="AJ21" s="1">
        <v>138.066277716169</v>
      </c>
      <c r="AK21" s="1">
        <v>137.017699611117</v>
      </c>
      <c r="AL21" s="1">
        <v>135.34157475353899</v>
      </c>
      <c r="AM21" s="1">
        <v>133.575425153623</v>
      </c>
      <c r="AN21" s="1">
        <v>131.64635768500199</v>
      </c>
      <c r="AO21" s="1">
        <v>129.44786502618601</v>
      </c>
      <c r="AP21" s="1">
        <v>126.836663412128</v>
      </c>
      <c r="AQ21" s="1">
        <v>123.659499317499</v>
      </c>
      <c r="AR21" s="1">
        <v>119.644779700125</v>
      </c>
      <c r="AS21" s="1">
        <v>113.883664614903</v>
      </c>
    </row>
    <row r="22" spans="2:45" ht="18" x14ac:dyDescent="0.4">
      <c r="B22" s="107"/>
      <c r="C22" s="107"/>
      <c r="D22" s="107"/>
      <c r="E22" s="107"/>
      <c r="F22" s="107"/>
      <c r="G22" s="57">
        <v>0.37196686085068076</v>
      </c>
      <c r="H22" s="57">
        <v>0.81399070525829109</v>
      </c>
      <c r="I22" s="57">
        <v>1.295698882527176</v>
      </c>
      <c r="J22" s="57">
        <v>1.8117150646442506</v>
      </c>
      <c r="K22" s="57">
        <v>2.3723613095111973</v>
      </c>
      <c r="L22" s="57">
        <v>2.9959763703287243</v>
      </c>
      <c r="M22" s="57">
        <v>3.6979077901274398</v>
      </c>
      <c r="N22" s="57">
        <v>4.4937741324854956</v>
      </c>
      <c r="O22" s="57">
        <v>5.402344448771438</v>
      </c>
      <c r="P22" s="57">
        <v>6.0471303264883698</v>
      </c>
      <c r="Q22" s="57">
        <v>4.8153962357387572</v>
      </c>
      <c r="R22" s="57">
        <v>4.0801964737927703</v>
      </c>
      <c r="S22" s="57">
        <v>3.4142658779996724</v>
      </c>
      <c r="T22" s="57">
        <v>2.8119122474331819</v>
      </c>
      <c r="U22" s="57">
        <v>2.2641444520875877</v>
      </c>
      <c r="V22" s="57">
        <v>1.7574712705576816</v>
      </c>
      <c r="W22" s="57">
        <v>1.2738897807360279</v>
      </c>
      <c r="X22" s="57">
        <v>0.80752820255568325</v>
      </c>
      <c r="Y22" s="57">
        <v>0.36981676268618757</v>
      </c>
      <c r="Z22" s="54"/>
      <c r="AA22" s="1">
        <v>0.37193597623464603</v>
      </c>
      <c r="AB22" s="1">
        <v>0.81387880274086699</v>
      </c>
      <c r="AC22" s="1">
        <v>1.2954765591036199</v>
      </c>
      <c r="AD22" s="1">
        <v>1.8113585243211401</v>
      </c>
      <c r="AE22" s="1">
        <v>2.3718398991332501</v>
      </c>
      <c r="AF22" s="1">
        <v>2.99523984556193</v>
      </c>
      <c r="AG22" s="1">
        <v>3.6968701731998799</v>
      </c>
      <c r="AH22" s="1">
        <v>4.4923060026392099</v>
      </c>
      <c r="AI22" s="1">
        <v>5.4002789193591001</v>
      </c>
      <c r="AJ22" s="1">
        <v>6.0509304049930401</v>
      </c>
      <c r="AK22" s="1">
        <v>4.8140234782041604</v>
      </c>
      <c r="AL22" s="1">
        <v>4.0791351668861999</v>
      </c>
      <c r="AM22" s="1">
        <v>3.4134698260263101</v>
      </c>
      <c r="AN22" s="1">
        <v>2.8113281897436302</v>
      </c>
      <c r="AO22" s="1">
        <v>2.26372410505906</v>
      </c>
      <c r="AP22" s="1">
        <v>1.75717766304642</v>
      </c>
      <c r="AQ22" s="1">
        <v>1.2736996186674501</v>
      </c>
      <c r="AR22" s="1">
        <v>0.80742643975814599</v>
      </c>
      <c r="AS22" s="1">
        <v>0.369785235867784</v>
      </c>
    </row>
    <row r="23" spans="2:45" ht="18" x14ac:dyDescent="0.4">
      <c r="B23" s="106" t="str">
        <f>Input!C13</f>
        <v>1Y</v>
      </c>
      <c r="C23" s="106">
        <f>Input!J13</f>
        <v>0.14000000000000101</v>
      </c>
      <c r="D23" s="106">
        <f>Input!I13</f>
        <v>7.9999999999998295E-2</v>
      </c>
      <c r="E23" s="106">
        <f>Input!K13</f>
        <v>0.53200000000000003</v>
      </c>
      <c r="F23" s="106">
        <f>Input!L13</f>
        <v>1.8580000000000001</v>
      </c>
      <c r="G23" s="60">
        <v>14.123046774940962</v>
      </c>
      <c r="H23" s="60">
        <v>13.468000000000046</v>
      </c>
      <c r="I23" s="60">
        <v>12.933688534162046</v>
      </c>
      <c r="J23" s="60">
        <v>12.471964727270642</v>
      </c>
      <c r="K23" s="60">
        <v>12.112000000000105</v>
      </c>
      <c r="L23" s="60">
        <v>11.864132146696802</v>
      </c>
      <c r="M23" s="60">
        <v>11.703346953633488</v>
      </c>
      <c r="N23" s="60">
        <v>11.605760734622999</v>
      </c>
      <c r="O23" s="60">
        <v>11.553720817875742</v>
      </c>
      <c r="P23" s="60">
        <v>11.54</v>
      </c>
      <c r="Q23" s="60">
        <v>11.5345797051085</v>
      </c>
      <c r="R23" s="60">
        <v>11.548060538263632</v>
      </c>
      <c r="S23" s="60">
        <v>11.616901889977481</v>
      </c>
      <c r="T23" s="60">
        <v>11.768937222979712</v>
      </c>
      <c r="U23" s="60">
        <v>12.032</v>
      </c>
      <c r="V23" s="60">
        <v>12.417713031084091</v>
      </c>
      <c r="W23" s="60">
        <v>12.872856515542045</v>
      </c>
      <c r="X23" s="60">
        <v>13.327999999999998</v>
      </c>
      <c r="Y23" s="60">
        <v>13.76</v>
      </c>
      <c r="Z23" s="54"/>
      <c r="AA23" s="1">
        <v>14.1231851215941</v>
      </c>
      <c r="AB23" s="1">
        <v>13.4679999999996</v>
      </c>
      <c r="AC23" s="1">
        <v>12.9336116909514</v>
      </c>
      <c r="AD23" s="1">
        <v>12.4718734030502</v>
      </c>
      <c r="AE23" s="1">
        <v>12.1119999999882</v>
      </c>
      <c r="AF23" s="1">
        <v>11.8643127242388</v>
      </c>
      <c r="AG23" s="1">
        <v>11.703700578191301</v>
      </c>
      <c r="AH23" s="1">
        <v>11.6061901295135</v>
      </c>
      <c r="AI23" s="1">
        <v>11.5540504129818</v>
      </c>
      <c r="AJ23" s="1">
        <v>11.54</v>
      </c>
      <c r="AK23" s="1">
        <v>11.5344517526523</v>
      </c>
      <c r="AL23" s="1">
        <v>11.547964109235901</v>
      </c>
      <c r="AM23" s="1">
        <v>11.6168431325077</v>
      </c>
      <c r="AN23" s="1">
        <v>11.768913527516601</v>
      </c>
      <c r="AO23" s="1">
        <v>12.031999999931401</v>
      </c>
      <c r="AP23" s="1">
        <v>12.41771973909</v>
      </c>
      <c r="AQ23" s="1">
        <v>12.872859869544399</v>
      </c>
      <c r="AR23" s="1">
        <v>13.328000000318699</v>
      </c>
      <c r="AS23" s="1">
        <v>13.7599999999996</v>
      </c>
    </row>
    <row r="24" spans="2:45" ht="18" x14ac:dyDescent="0.4">
      <c r="B24" s="106"/>
      <c r="C24" s="106"/>
      <c r="D24" s="106"/>
      <c r="E24" s="106"/>
      <c r="F24" s="106"/>
      <c r="G24" s="61">
        <v>173.15134649904692</v>
      </c>
      <c r="H24" s="61">
        <v>162.7597332605406</v>
      </c>
      <c r="I24" s="61">
        <v>156.3307240912068</v>
      </c>
      <c r="J24" s="61">
        <v>151.61111484075317</v>
      </c>
      <c r="K24" s="61">
        <v>147.8978235709699</v>
      </c>
      <c r="L24" s="61">
        <v>144.81258668582527</v>
      </c>
      <c r="M24" s="61">
        <v>142.09890325247014</v>
      </c>
      <c r="N24" s="61">
        <v>139.59127528992045</v>
      </c>
      <c r="O24" s="61">
        <v>137.17464261632821</v>
      </c>
      <c r="P24" s="61">
        <v>135.95570729029251</v>
      </c>
      <c r="Q24" s="61">
        <v>135.03844019858246</v>
      </c>
      <c r="R24" s="61">
        <v>133.19348821478425</v>
      </c>
      <c r="S24" s="61">
        <v>131.25785687773777</v>
      </c>
      <c r="T24" s="61">
        <v>129.15351946868873</v>
      </c>
      <c r="U24" s="61">
        <v>126.76692366161332</v>
      </c>
      <c r="V24" s="61">
        <v>123.945750868633</v>
      </c>
      <c r="W24" s="61">
        <v>120.52735597284597</v>
      </c>
      <c r="X24" s="61">
        <v>116.22386947604892</v>
      </c>
      <c r="Y24" s="61">
        <v>110.07266991832616</v>
      </c>
      <c r="Z24" s="56"/>
      <c r="AA24" s="1">
        <v>173.35674748697201</v>
      </c>
      <c r="AB24" s="1">
        <v>162.953918008247</v>
      </c>
      <c r="AC24" s="1">
        <v>156.51827045314801</v>
      </c>
      <c r="AD24" s="1">
        <v>151.79407479296</v>
      </c>
      <c r="AE24" s="1">
        <v>148.07755824132599</v>
      </c>
      <c r="AF24" s="1">
        <v>144.99002703471899</v>
      </c>
      <c r="AG24" s="1">
        <v>142.27463850227201</v>
      </c>
      <c r="AH24" s="1">
        <v>139.765766272761</v>
      </c>
      <c r="AI24" s="1">
        <v>137.34840860975001</v>
      </c>
      <c r="AJ24" s="1">
        <v>136.107529950843</v>
      </c>
      <c r="AK24" s="1">
        <v>135.17367355015</v>
      </c>
      <c r="AL24" s="1">
        <v>133.32803848857</v>
      </c>
      <c r="AM24" s="1">
        <v>131.39144675888301</v>
      </c>
      <c r="AN24" s="1">
        <v>129.28580601811501</v>
      </c>
      <c r="AO24" s="1">
        <v>126.89746749978799</v>
      </c>
      <c r="AP24" s="1">
        <v>124.07399787681901</v>
      </c>
      <c r="AQ24" s="1">
        <v>120.65266975082901</v>
      </c>
      <c r="AR24" s="1">
        <v>116.34540265422</v>
      </c>
      <c r="AS24" s="1">
        <v>110.188679722198</v>
      </c>
    </row>
    <row r="25" spans="2:45" ht="18" x14ac:dyDescent="0.4">
      <c r="B25" s="106"/>
      <c r="C25" s="106"/>
      <c r="D25" s="106"/>
      <c r="E25" s="106"/>
      <c r="F25" s="106"/>
      <c r="G25" s="57">
        <v>0.43423100485580879</v>
      </c>
      <c r="H25" s="57">
        <v>0.94532372524657149</v>
      </c>
      <c r="I25" s="57">
        <v>1.4998406256638042</v>
      </c>
      <c r="J25" s="57">
        <v>2.0921766540181692</v>
      </c>
      <c r="K25" s="57">
        <v>2.7342585345728154</v>
      </c>
      <c r="L25" s="57">
        <v>3.4465344795228865</v>
      </c>
      <c r="M25" s="57">
        <v>4.2467441400959087</v>
      </c>
      <c r="N25" s="57">
        <v>5.1540999979001869</v>
      </c>
      <c r="O25" s="57">
        <v>6.1931019837480221</v>
      </c>
      <c r="P25" s="57">
        <v>6.7795858228104953</v>
      </c>
      <c r="Q25" s="57">
        <v>5.4127086886911648</v>
      </c>
      <c r="R25" s="57">
        <v>4.5793302054838518</v>
      </c>
      <c r="S25" s="57">
        <v>3.8257843361555941</v>
      </c>
      <c r="T25" s="57">
        <v>3.1454162010392506</v>
      </c>
      <c r="U25" s="57">
        <v>2.5280224432803635</v>
      </c>
      <c r="V25" s="57">
        <v>1.9585273904236757</v>
      </c>
      <c r="W25" s="57">
        <v>1.416959840887442</v>
      </c>
      <c r="X25" s="57">
        <v>0.89665593526325704</v>
      </c>
      <c r="Y25" s="57">
        <v>0.40997323972294808</v>
      </c>
      <c r="Z25" s="56"/>
      <c r="AA25" s="1">
        <v>0.43417274694429198</v>
      </c>
      <c r="AB25" s="1">
        <v>0.94512485589726003</v>
      </c>
      <c r="AC25" s="1">
        <v>1.4994456676213599</v>
      </c>
      <c r="AD25" s="1">
        <v>2.09153762461046</v>
      </c>
      <c r="AE25" s="1">
        <v>2.7333245549224801</v>
      </c>
      <c r="AF25" s="1">
        <v>3.4452319923811499</v>
      </c>
      <c r="AG25" s="1">
        <v>4.2449377190989699</v>
      </c>
      <c r="AH25" s="1">
        <v>5.1515638908531098</v>
      </c>
      <c r="AI25" s="1">
        <v>6.1894914336421296</v>
      </c>
      <c r="AJ25" s="1">
        <v>6.7860458184364898</v>
      </c>
      <c r="AK25" s="1">
        <v>5.4103258259537501</v>
      </c>
      <c r="AL25" s="1">
        <v>4.5775055061846199</v>
      </c>
      <c r="AM25" s="1">
        <v>3.8244221662270199</v>
      </c>
      <c r="AN25" s="1">
        <v>3.1444206086487601</v>
      </c>
      <c r="AO25" s="1">
        <v>2.5273099961687602</v>
      </c>
      <c r="AP25" s="1">
        <v>1.9580340210515399</v>
      </c>
      <c r="AQ25" s="1">
        <v>1.4166430742649501</v>
      </c>
      <c r="AR25" s="1">
        <v>0.89648596891346199</v>
      </c>
      <c r="AS25" s="1">
        <v>0.409917385660589</v>
      </c>
    </row>
    <row r="26" spans="2:45" ht="18" x14ac:dyDescent="0.4">
      <c r="B26" s="107" t="str">
        <f>Input!C14</f>
        <v>2Y</v>
      </c>
      <c r="C26" s="107">
        <f>Input!J14</f>
        <v>0.42</v>
      </c>
      <c r="D26" s="107">
        <f>Input!I14</f>
        <v>0.109999999999999</v>
      </c>
      <c r="E26" s="107">
        <f>Input!K14</f>
        <v>0.56000000000000005</v>
      </c>
      <c r="F26" s="107">
        <f>Input!L14</f>
        <v>1.97</v>
      </c>
      <c r="G26" s="60">
        <v>13.955245507101424</v>
      </c>
      <c r="H26" s="60">
        <v>13.090000000000188</v>
      </c>
      <c r="I26" s="60">
        <v>12.441255638319877</v>
      </c>
      <c r="J26" s="60">
        <v>11.913855440368936</v>
      </c>
      <c r="K26" s="60">
        <v>11.525000000000112</v>
      </c>
      <c r="L26" s="60">
        <v>11.268519896799495</v>
      </c>
      <c r="M26" s="60">
        <v>11.104126477248732</v>
      </c>
      <c r="N26" s="60">
        <v>10.999200281251126</v>
      </c>
      <c r="O26" s="60">
        <v>10.930712523164265</v>
      </c>
      <c r="P26" s="60">
        <v>10.91</v>
      </c>
      <c r="Q26" s="60">
        <v>10.874934471123916</v>
      </c>
      <c r="R26" s="60">
        <v>10.898607319688196</v>
      </c>
      <c r="S26" s="60">
        <v>10.982431477015378</v>
      </c>
      <c r="T26" s="60">
        <v>11.14752351361585</v>
      </c>
      <c r="U26" s="60">
        <v>11.415000000000001</v>
      </c>
      <c r="V26" s="60">
        <v>11.792166326568646</v>
      </c>
      <c r="W26" s="60">
        <v>12.231083163284323</v>
      </c>
      <c r="X26" s="60">
        <v>12.67</v>
      </c>
      <c r="Y26" s="60">
        <v>13.088333333333333</v>
      </c>
      <c r="Z26" s="56"/>
      <c r="AA26" s="1">
        <v>13.9552432360708</v>
      </c>
      <c r="AB26" s="1">
        <v>13.089999999998501</v>
      </c>
      <c r="AC26" s="1">
        <v>12.4412558172156</v>
      </c>
      <c r="AD26" s="1">
        <v>11.913855425825901</v>
      </c>
      <c r="AE26" s="1">
        <v>11.524999999965701</v>
      </c>
      <c r="AF26" s="1">
        <v>11.2685200238092</v>
      </c>
      <c r="AG26" s="1">
        <v>11.1041266592289</v>
      </c>
      <c r="AH26" s="1">
        <v>10.999200391786699</v>
      </c>
      <c r="AI26" s="1">
        <v>10.9307124964522</v>
      </c>
      <c r="AJ26" s="1">
        <v>10.91</v>
      </c>
      <c r="AK26" s="1">
        <v>10.8749343812601</v>
      </c>
      <c r="AL26" s="1">
        <v>10.8986072413896</v>
      </c>
      <c r="AM26" s="1">
        <v>10.9824314269244</v>
      </c>
      <c r="AN26" s="1">
        <v>11.1475234915494</v>
      </c>
      <c r="AO26" s="1">
        <v>11.4149999998947</v>
      </c>
      <c r="AP26" s="1">
        <v>11.7921663331564</v>
      </c>
      <c r="AQ26" s="1">
        <v>12.2310831665969</v>
      </c>
      <c r="AR26" s="1">
        <v>12.6700000003037</v>
      </c>
      <c r="AS26" s="1">
        <v>13.0883333333331</v>
      </c>
    </row>
    <row r="27" spans="2:45" ht="18" x14ac:dyDescent="0.4">
      <c r="B27" s="107"/>
      <c r="C27" s="107"/>
      <c r="D27" s="107"/>
      <c r="E27" s="107"/>
      <c r="F27" s="107"/>
      <c r="G27" s="61">
        <v>182.2644372531592</v>
      </c>
      <c r="H27" s="61">
        <v>166.37775085565175</v>
      </c>
      <c r="I27" s="61">
        <v>157.04456734971123</v>
      </c>
      <c r="J27" s="61">
        <v>150.43871821387626</v>
      </c>
      <c r="K27" s="61">
        <v>145.396956140681</v>
      </c>
      <c r="L27" s="61">
        <v>141.29780361481687</v>
      </c>
      <c r="M27" s="61">
        <v>137.73968557172245</v>
      </c>
      <c r="N27" s="61">
        <v>134.48112867617945</v>
      </c>
      <c r="O27" s="61">
        <v>131.36620881798387</v>
      </c>
      <c r="P27" s="61">
        <v>130.18119977105806</v>
      </c>
      <c r="Q27" s="61">
        <v>126.77762930745226</v>
      </c>
      <c r="R27" s="61">
        <v>124.59605926898381</v>
      </c>
      <c r="S27" s="61">
        <v>122.28362889987231</v>
      </c>
      <c r="T27" s="61">
        <v>119.74883283515334</v>
      </c>
      <c r="U27" s="61">
        <v>116.86278252312918</v>
      </c>
      <c r="V27" s="61">
        <v>113.4564252320547</v>
      </c>
      <c r="W27" s="61">
        <v>109.35081920154613</v>
      </c>
      <c r="X27" s="61">
        <v>104.22077646703521</v>
      </c>
      <c r="Y27" s="61">
        <v>96.969033209233189</v>
      </c>
      <c r="Z27" s="56"/>
      <c r="AA27" s="1">
        <v>182.65844356602199</v>
      </c>
      <c r="AB27" s="1">
        <v>166.73746019976701</v>
      </c>
      <c r="AC27" s="1">
        <v>157.384096152224</v>
      </c>
      <c r="AD27" s="1">
        <v>150.763955056085</v>
      </c>
      <c r="AE27" s="1">
        <v>145.71128848619099</v>
      </c>
      <c r="AF27" s="1">
        <v>141.60327654452101</v>
      </c>
      <c r="AG27" s="1">
        <v>138.03747189568699</v>
      </c>
      <c r="AH27" s="1">
        <v>134.771872309831</v>
      </c>
      <c r="AI27" s="1">
        <v>131.650212112259</v>
      </c>
      <c r="AJ27" s="1">
        <v>130.462643143403</v>
      </c>
      <c r="AK27" s="1">
        <v>127.051716990182</v>
      </c>
      <c r="AL27" s="1">
        <v>124.865426833284</v>
      </c>
      <c r="AM27" s="1">
        <v>122.547995461409</v>
      </c>
      <c r="AN27" s="1">
        <v>120.007721194933</v>
      </c>
      <c r="AO27" s="1">
        <v>117.11543474126201</v>
      </c>
      <c r="AP27" s="1">
        <v>113.70171480520401</v>
      </c>
      <c r="AQ27" s="1">
        <v>109.58723030647199</v>
      </c>
      <c r="AR27" s="1">
        <v>104.44609071430099</v>
      </c>
      <c r="AS27" s="1">
        <v>97.178670459334697</v>
      </c>
    </row>
    <row r="28" spans="2:45" ht="18" x14ac:dyDescent="0.4">
      <c r="B28" s="107"/>
      <c r="C28" s="107"/>
      <c r="D28" s="107"/>
      <c r="E28" s="107"/>
      <c r="F28" s="107"/>
      <c r="G28" s="57">
        <v>0.5555689841325594</v>
      </c>
      <c r="H28" s="57">
        <v>1.1891113836453668</v>
      </c>
      <c r="I28" s="57">
        <v>1.8663351195537878</v>
      </c>
      <c r="J28" s="57">
        <v>2.5841607828381727</v>
      </c>
      <c r="K28" s="57">
        <v>3.3629030196719607</v>
      </c>
      <c r="L28" s="57">
        <v>4.2303852761956433</v>
      </c>
      <c r="M28" s="57">
        <v>5.2069416009913985</v>
      </c>
      <c r="N28" s="57">
        <v>6.3131469276757581</v>
      </c>
      <c r="O28" s="57">
        <v>7.5746740700224935</v>
      </c>
      <c r="P28" s="57">
        <v>8.1080856393733942</v>
      </c>
      <c r="Q28" s="57">
        <v>6.3715764536813904</v>
      </c>
      <c r="R28" s="57">
        <v>5.416822121388754</v>
      </c>
      <c r="S28" s="57">
        <v>4.5489567494176191</v>
      </c>
      <c r="T28" s="57">
        <v>3.7590030237824714</v>
      </c>
      <c r="U28" s="57">
        <v>3.0349145622400719</v>
      </c>
      <c r="V28" s="57">
        <v>2.3600822138091804</v>
      </c>
      <c r="W28" s="57">
        <v>1.713214775897363</v>
      </c>
      <c r="X28" s="57">
        <v>1.0879205162877277</v>
      </c>
      <c r="Y28" s="57">
        <v>0.49946057905898494</v>
      </c>
      <c r="Z28" s="56"/>
      <c r="AA28" s="1">
        <v>0.55655469664090196</v>
      </c>
      <c r="AB28" s="1">
        <v>1.19119835264396</v>
      </c>
      <c r="AC28" s="1">
        <v>1.8696015808261901</v>
      </c>
      <c r="AD28" s="1">
        <v>2.5886911603954501</v>
      </c>
      <c r="AE28" s="1">
        <v>3.3688119956737199</v>
      </c>
      <c r="AF28" s="1">
        <v>4.2378241369002003</v>
      </c>
      <c r="AG28" s="1">
        <v>5.2160864265886397</v>
      </c>
      <c r="AH28" s="1">
        <v>6.3242151504044699</v>
      </c>
      <c r="AI28" s="1">
        <v>7.5879820355752399</v>
      </c>
      <c r="AJ28" s="1">
        <v>8.1223380213612693</v>
      </c>
      <c r="AK28" s="1">
        <v>6.3827485534459898</v>
      </c>
      <c r="AL28" s="1">
        <v>5.4263268267156199</v>
      </c>
      <c r="AM28" s="1">
        <v>4.5569490047729699</v>
      </c>
      <c r="AN28" s="1">
        <v>3.7656116663875601</v>
      </c>
      <c r="AO28" s="1">
        <v>3.0402470778733299</v>
      </c>
      <c r="AP28" s="1">
        <v>2.3642220151565101</v>
      </c>
      <c r="AQ28" s="1">
        <v>1.7162147457093899</v>
      </c>
      <c r="AR28" s="1">
        <v>1.0898272278669601</v>
      </c>
      <c r="AS28" s="1">
        <v>0.50034341429887497</v>
      </c>
    </row>
    <row r="29" spans="2:45" ht="18" x14ac:dyDescent="0.4">
      <c r="B29" s="106" t="str">
        <f>Input!C15</f>
        <v>5Y</v>
      </c>
      <c r="C29" s="106">
        <f>Input!J15</f>
        <v>4.9999999999990096E-3</v>
      </c>
      <c r="D29" s="106">
        <f>Input!I15</f>
        <v>0.42249999999999899</v>
      </c>
      <c r="E29" s="106">
        <f>Input!K15</f>
        <v>0.61254999999999904</v>
      </c>
      <c r="F29" s="106">
        <f>Input!L15</f>
        <v>2.39</v>
      </c>
      <c r="G29" s="60">
        <v>13.30558935027849</v>
      </c>
      <c r="H29" s="60">
        <v>12.262500000000525</v>
      </c>
      <c r="I29" s="60">
        <v>11.575552819358524</v>
      </c>
      <c r="J29" s="60">
        <v>11.059757054908781</v>
      </c>
      <c r="K29" s="60">
        <v>10.69380000000004</v>
      </c>
      <c r="L29" s="60">
        <v>10.44522085831148</v>
      </c>
      <c r="M29" s="60">
        <v>10.256027355232536</v>
      </c>
      <c r="N29" s="60">
        <v>10.083059109557157</v>
      </c>
      <c r="O29" s="60">
        <v>9.8951547135017179</v>
      </c>
      <c r="P29" s="60">
        <v>9.8699999999999992</v>
      </c>
      <c r="Q29" s="60">
        <v>9.6599664904141633</v>
      </c>
      <c r="R29" s="60">
        <v>9.6188016641309559</v>
      </c>
      <c r="S29" s="60">
        <v>9.6796676552595269</v>
      </c>
      <c r="T29" s="60">
        <v>9.8835164413618752</v>
      </c>
      <c r="U29" s="60">
        <v>10.271299999999998</v>
      </c>
      <c r="V29" s="60">
        <v>10.858404416634075</v>
      </c>
      <c r="W29" s="60">
        <v>11.557952208317039</v>
      </c>
      <c r="X29" s="60">
        <v>12.2575</v>
      </c>
      <c r="Y29" s="60">
        <v>12.919566666666668</v>
      </c>
      <c r="Z29" s="56"/>
      <c r="AA29" s="1">
        <v>13.305585375444799</v>
      </c>
      <c r="AB29" s="1">
        <v>12.2624999999979</v>
      </c>
      <c r="AC29" s="1">
        <v>11.5755532914038</v>
      </c>
      <c r="AD29" s="1">
        <v>11.059757197124</v>
      </c>
      <c r="AE29" s="1">
        <v>10.693799999929899</v>
      </c>
      <c r="AF29" s="1">
        <v>10.4452209183191</v>
      </c>
      <c r="AG29" s="1">
        <v>10.256027488628501</v>
      </c>
      <c r="AH29" s="1">
        <v>10.0830592063124</v>
      </c>
      <c r="AI29" s="1">
        <v>9.8951545365416909</v>
      </c>
      <c r="AJ29" s="1">
        <v>9.8699999999999992</v>
      </c>
      <c r="AK29" s="1">
        <v>9.6599663354620393</v>
      </c>
      <c r="AL29" s="1">
        <v>9.6188015405777101</v>
      </c>
      <c r="AM29" s="1">
        <v>9.67966757723649</v>
      </c>
      <c r="AN29" s="1">
        <v>9.8835164174457208</v>
      </c>
      <c r="AO29" s="1">
        <v>10.271299999891699</v>
      </c>
      <c r="AP29" s="1">
        <v>10.858404456372</v>
      </c>
      <c r="AQ29" s="1">
        <v>11.557952231278801</v>
      </c>
      <c r="AR29" s="1">
        <v>12.2575000002852</v>
      </c>
      <c r="AS29" s="1">
        <v>12.9195666665403</v>
      </c>
    </row>
    <row r="30" spans="2:45" ht="18" x14ac:dyDescent="0.4">
      <c r="B30" s="106"/>
      <c r="C30" s="106"/>
      <c r="D30" s="106"/>
      <c r="E30" s="106"/>
      <c r="F30" s="106"/>
      <c r="G30" s="61">
        <v>193.12833767993129</v>
      </c>
      <c r="H30" s="61">
        <v>166.70053748902842</v>
      </c>
      <c r="I30" s="61">
        <v>152.42994762171509</v>
      </c>
      <c r="J30" s="61">
        <v>142.77724217840569</v>
      </c>
      <c r="K30" s="61">
        <v>135.58059488690984</v>
      </c>
      <c r="L30" s="61">
        <v>129.77403251223163</v>
      </c>
      <c r="M30" s="61">
        <v>124.73718290498253</v>
      </c>
      <c r="N30" s="61">
        <v>120.14205796006569</v>
      </c>
      <c r="O30" s="61">
        <v>115.81056554235617</v>
      </c>
      <c r="P30" s="61">
        <v>115.29659914728823</v>
      </c>
      <c r="Q30" s="61">
        <v>110.73533349195446</v>
      </c>
      <c r="R30" s="61">
        <v>108.23696621341323</v>
      </c>
      <c r="S30" s="61">
        <v>105.56106328981851</v>
      </c>
      <c r="T30" s="61">
        <v>102.54849523054459</v>
      </c>
      <c r="U30" s="61">
        <v>98.978254536526975</v>
      </c>
      <c r="V30" s="61">
        <v>94.589382017103503</v>
      </c>
      <c r="W30" s="61">
        <v>89.207512518370876</v>
      </c>
      <c r="X30" s="61">
        <v>82.559535839834524</v>
      </c>
      <c r="Y30" s="61">
        <v>73.477685624547561</v>
      </c>
      <c r="Z30" s="56"/>
      <c r="AA30" s="1">
        <v>193.20041311307901</v>
      </c>
      <c r="AB30" s="1">
        <v>166.76284523426699</v>
      </c>
      <c r="AC30" s="1">
        <v>152.48692646143701</v>
      </c>
      <c r="AD30" s="1">
        <v>142.83059755046699</v>
      </c>
      <c r="AE30" s="1">
        <v>135.63125148067101</v>
      </c>
      <c r="AF30" s="1">
        <v>129.82252126770001</v>
      </c>
      <c r="AG30" s="1">
        <v>124.783798004419</v>
      </c>
      <c r="AH30" s="1">
        <v>120.186960018779</v>
      </c>
      <c r="AI30" s="1">
        <v>115.85384000564299</v>
      </c>
      <c r="AJ30" s="1">
        <v>115.339684628518</v>
      </c>
      <c r="AK30" s="1">
        <v>110.776717845413</v>
      </c>
      <c r="AL30" s="1">
        <v>108.27741312454199</v>
      </c>
      <c r="AM30" s="1">
        <v>105.600507594783</v>
      </c>
      <c r="AN30" s="1">
        <v>102.58681503228399</v>
      </c>
      <c r="AO30" s="1">
        <v>99.015243752538694</v>
      </c>
      <c r="AP30" s="1">
        <v>94.624733840811402</v>
      </c>
      <c r="AQ30" s="1">
        <v>89.240851983508904</v>
      </c>
      <c r="AR30" s="1">
        <v>82.590384690204203</v>
      </c>
      <c r="AS30" s="1">
        <v>73.505137571875295</v>
      </c>
    </row>
    <row r="31" spans="2:45" ht="18" x14ac:dyDescent="0.4">
      <c r="B31" s="106"/>
      <c r="C31" s="106"/>
      <c r="D31" s="106"/>
      <c r="E31" s="106"/>
      <c r="F31" s="106"/>
      <c r="G31" s="57">
        <v>0.76273837957868329</v>
      </c>
      <c r="H31" s="57">
        <v>1.6087074680039521</v>
      </c>
      <c r="I31" s="57">
        <v>2.5149696149003726</v>
      </c>
      <c r="J31" s="57">
        <v>3.4852783812203341</v>
      </c>
      <c r="K31" s="57">
        <v>4.550008196777215</v>
      </c>
      <c r="L31" s="57">
        <v>5.7427796647202802</v>
      </c>
      <c r="M31" s="57">
        <v>7.0792795389123571</v>
      </c>
      <c r="N31" s="57">
        <v>8.5700727814150426</v>
      </c>
      <c r="O31" s="57">
        <v>10.225360300451799</v>
      </c>
      <c r="P31" s="57">
        <v>10.43828163806427</v>
      </c>
      <c r="Q31" s="57">
        <v>7.8382046639217942</v>
      </c>
      <c r="R31" s="57">
        <v>6.6452332835640435</v>
      </c>
      <c r="S31" s="57">
        <v>5.5887414996605429</v>
      </c>
      <c r="T31" s="57">
        <v>4.6549606788398892</v>
      </c>
      <c r="U31" s="57">
        <v>3.8191864480787934</v>
      </c>
      <c r="V31" s="57">
        <v>3.0419597254974367</v>
      </c>
      <c r="W31" s="57">
        <v>2.2684910879232794</v>
      </c>
      <c r="X31" s="57">
        <v>1.4774081124609817</v>
      </c>
      <c r="Y31" s="57">
        <v>0.69408433576097983</v>
      </c>
      <c r="Z31" s="56"/>
      <c r="AA31" s="1">
        <v>0.76270057250446599</v>
      </c>
      <c r="AB31" s="1">
        <v>1.60859699865964</v>
      </c>
      <c r="AC31" s="1">
        <v>2.5147823350632499</v>
      </c>
      <c r="AD31" s="1">
        <v>3.4850282023554802</v>
      </c>
      <c r="AE31" s="1">
        <v>4.5496999961747298</v>
      </c>
      <c r="AF31" s="1">
        <v>5.7423979248716703</v>
      </c>
      <c r="AG31" s="1">
        <v>7.07879171340588</v>
      </c>
      <c r="AH31" s="1">
        <v>8.5694609706343794</v>
      </c>
      <c r="AI31" s="1">
        <v>10.224665571239999</v>
      </c>
      <c r="AJ31" s="1">
        <v>10.4375713706212</v>
      </c>
      <c r="AK31" s="1">
        <v>7.8376480885503703</v>
      </c>
      <c r="AL31" s="1">
        <v>6.6447689264332199</v>
      </c>
      <c r="AM31" s="1">
        <v>5.5883620543928103</v>
      </c>
      <c r="AN31" s="1">
        <v>4.6546492985955297</v>
      </c>
      <c r="AO31" s="1">
        <v>3.8189274970639402</v>
      </c>
      <c r="AP31" s="1">
        <v>3.0417454098232102</v>
      </c>
      <c r="AQ31" s="1">
        <v>2.2683248815117101</v>
      </c>
      <c r="AR31" s="1">
        <v>1.47730130947613</v>
      </c>
      <c r="AS31" s="1">
        <v>0.69404330093108102</v>
      </c>
    </row>
    <row r="32" spans="2:45" ht="18" x14ac:dyDescent="0.4">
      <c r="B32" s="107" t="str">
        <f>Input!C16</f>
        <v>7Y</v>
      </c>
      <c r="C32" s="107">
        <f>Input!J16</f>
        <v>-2.335</v>
      </c>
      <c r="D32" s="107">
        <f>Input!I16</f>
        <v>-0.619999999999999</v>
      </c>
      <c r="E32" s="107">
        <f>Input!K16</f>
        <v>0.65</v>
      </c>
      <c r="F32" s="107">
        <f>Input!L16</f>
        <v>2.89</v>
      </c>
      <c r="G32" s="60">
        <v>12.416969945457032</v>
      </c>
      <c r="H32" s="60">
        <v>11.462500000000523</v>
      </c>
      <c r="I32" s="60">
        <v>10.81054802458609</v>
      </c>
      <c r="J32" s="60">
        <v>10.345749932795194</v>
      </c>
      <c r="K32" s="60">
        <v>10.080000000000016</v>
      </c>
      <c r="L32" s="60">
        <v>9.971990303443409</v>
      </c>
      <c r="M32" s="60">
        <v>9.9268457901385769</v>
      </c>
      <c r="N32" s="60">
        <v>9.8686266948950561</v>
      </c>
      <c r="O32" s="60">
        <v>9.7351720081916842</v>
      </c>
      <c r="P32" s="60">
        <v>9.74</v>
      </c>
      <c r="Q32" s="60">
        <v>9.5500069507131062</v>
      </c>
      <c r="R32" s="60">
        <v>9.5556112289649047</v>
      </c>
      <c r="S32" s="60">
        <v>9.7085766343358983</v>
      </c>
      <c r="T32" s="60">
        <v>10.069755460217218</v>
      </c>
      <c r="U32" s="60">
        <v>10.7</v>
      </c>
      <c r="V32" s="60">
        <v>11.622527330902468</v>
      </c>
      <c r="W32" s="60">
        <v>12.710013665451235</v>
      </c>
      <c r="X32" s="60">
        <v>13.797500000000005</v>
      </c>
      <c r="Y32" s="60">
        <v>14.830000000000002</v>
      </c>
      <c r="Z32" s="56"/>
      <c r="AA32" s="1">
        <v>12.416966033287199</v>
      </c>
      <c r="AB32" s="1">
        <v>11.462499999995901</v>
      </c>
      <c r="AC32" s="1">
        <v>10.8105485346954</v>
      </c>
      <c r="AD32" s="1">
        <v>10.3457500495778</v>
      </c>
      <c r="AE32" s="1">
        <v>10.080000000000499</v>
      </c>
      <c r="AF32" s="1">
        <v>9.9719903760293196</v>
      </c>
      <c r="AG32" s="1">
        <v>9.9268458735978999</v>
      </c>
      <c r="AH32" s="1">
        <v>9.8686267645612205</v>
      </c>
      <c r="AI32" s="1"/>
      <c r="AJ32" s="1">
        <v>9.74</v>
      </c>
      <c r="AK32" s="1">
        <v>9.5500068396503703</v>
      </c>
      <c r="AL32" s="1">
        <v>9.5556111421880807</v>
      </c>
      <c r="AM32" s="1">
        <v>9.7085765951812295</v>
      </c>
      <c r="AN32" s="1">
        <v>10.0697554365972</v>
      </c>
      <c r="AO32" s="1">
        <v>10.700000438032101</v>
      </c>
      <c r="AP32" s="1">
        <v>11.622527337710901</v>
      </c>
      <c r="AQ32" s="1">
        <v>12.7100136688533</v>
      </c>
      <c r="AR32" s="1">
        <v>13.7974999996459</v>
      </c>
      <c r="AS32" s="1">
        <v>14.829999997763</v>
      </c>
    </row>
    <row r="33" spans="2:65" ht="18" x14ac:dyDescent="0.4">
      <c r="B33" s="107"/>
      <c r="C33" s="107"/>
      <c r="D33" s="107"/>
      <c r="E33" s="107"/>
      <c r="F33" s="107"/>
      <c r="G33" s="61">
        <v>190.69546932272073</v>
      </c>
      <c r="H33" s="61">
        <v>162.01683420691663</v>
      </c>
      <c r="I33" s="61">
        <v>146.57961154894161</v>
      </c>
      <c r="J33" s="61">
        <v>136.31407844490795</v>
      </c>
      <c r="K33" s="61">
        <v>128.81769323625667</v>
      </c>
      <c r="L33" s="61">
        <v>122.77665881466118</v>
      </c>
      <c r="M33" s="61">
        <v>117.39784831315518</v>
      </c>
      <c r="N33" s="61">
        <v>112.31147614785314</v>
      </c>
      <c r="O33" s="61">
        <v>107.38571784656898</v>
      </c>
      <c r="P33" s="61">
        <v>107.5099993347706</v>
      </c>
      <c r="Q33" s="61">
        <v>102.34374949753737</v>
      </c>
      <c r="R33" s="61">
        <v>99.67546223105164</v>
      </c>
      <c r="S33" s="61">
        <v>96.745582000059144</v>
      </c>
      <c r="T33" s="61">
        <v>93.332930505977075</v>
      </c>
      <c r="U33" s="61">
        <v>89.139720952260276</v>
      </c>
      <c r="V33" s="61">
        <v>83.845701018147821</v>
      </c>
      <c r="W33" s="61">
        <v>77.325351920201541</v>
      </c>
      <c r="X33" s="61">
        <v>69.407466742369721</v>
      </c>
      <c r="Y33" s="61">
        <v>58.971489345430328</v>
      </c>
      <c r="Z33" s="56"/>
      <c r="AA33" s="1">
        <v>190.65103539194001</v>
      </c>
      <c r="AB33" s="1">
        <v>161.979190598092</v>
      </c>
      <c r="AC33" s="1">
        <v>146.54556323350599</v>
      </c>
      <c r="AD33" s="1">
        <v>136.282398362268</v>
      </c>
      <c r="AE33" s="1">
        <v>128.78774447789201</v>
      </c>
      <c r="AF33" s="1">
        <v>122.748115389148</v>
      </c>
      <c r="AG33" s="1">
        <v>117.370564380895</v>
      </c>
      <c r="AH33" s="1">
        <v>112.285379651203</v>
      </c>
      <c r="AI33" s="1"/>
      <c r="AJ33" s="1">
        <v>107.485012112958</v>
      </c>
      <c r="AK33" s="1">
        <v>102.319966613161</v>
      </c>
      <c r="AL33" s="1">
        <v>99.652295976966499</v>
      </c>
      <c r="AM33" s="1">
        <v>96.723093496250598</v>
      </c>
      <c r="AN33" s="1">
        <v>93.311235851767094</v>
      </c>
      <c r="AO33" s="1">
        <v>89.119003638981596</v>
      </c>
      <c r="AP33" s="1">
        <v>83.826218181581794</v>
      </c>
      <c r="AQ33" s="1">
        <v>77.307384668625303</v>
      </c>
      <c r="AR33" s="1">
        <v>69.391334218678296</v>
      </c>
      <c r="AS33" s="1">
        <v>58.957776138462698</v>
      </c>
    </row>
    <row r="34" spans="2:65" ht="18" x14ac:dyDescent="0.4">
      <c r="B34" s="107"/>
      <c r="C34" s="107"/>
      <c r="D34" s="107"/>
      <c r="E34" s="107"/>
      <c r="F34" s="107"/>
      <c r="G34" s="57">
        <v>0.79402582316218251</v>
      </c>
      <c r="H34" s="57">
        <v>1.6794379361952974</v>
      </c>
      <c r="I34" s="57">
        <v>2.6258137156992736</v>
      </c>
      <c r="J34" s="57">
        <v>3.6493416881213752</v>
      </c>
      <c r="K34" s="57">
        <v>4.8100818771388436</v>
      </c>
      <c r="L34" s="57">
        <v>6.1676762891028387</v>
      </c>
      <c r="M34" s="57">
        <v>7.7406534744970186</v>
      </c>
      <c r="N34" s="57">
        <v>9.5260044461371809</v>
      </c>
      <c r="O34" s="57">
        <v>11.496355837117067</v>
      </c>
      <c r="P34" s="57">
        <v>11.444000059638539</v>
      </c>
      <c r="Q34" s="57">
        <v>8.4774520300339802</v>
      </c>
      <c r="R34" s="57">
        <v>7.2315334852614601</v>
      </c>
      <c r="S34" s="57">
        <v>6.1448502804701297</v>
      </c>
      <c r="T34" s="57">
        <v>5.1999200047399858</v>
      </c>
      <c r="U34" s="57">
        <v>4.3607215614524861</v>
      </c>
      <c r="V34" s="57">
        <v>3.5667340883792571</v>
      </c>
      <c r="W34" s="57">
        <v>2.732182845571606</v>
      </c>
      <c r="X34" s="57">
        <v>1.8228726305752547</v>
      </c>
      <c r="Y34" s="57">
        <v>0.87526882395711825</v>
      </c>
      <c r="Z34" s="56"/>
      <c r="AA34" s="1">
        <v>0.79233738342109294</v>
      </c>
      <c r="AB34" s="1">
        <v>1.6758349561313499</v>
      </c>
      <c r="AC34" s="1">
        <v>2.6201644151141701</v>
      </c>
      <c r="AD34" s="1">
        <v>3.6414997162466398</v>
      </c>
      <c r="AE34" s="1">
        <v>4.79976511379349</v>
      </c>
      <c r="AF34" s="1">
        <v>6.1544552310367697</v>
      </c>
      <c r="AG34" s="1">
        <v>7.7240407280088199</v>
      </c>
      <c r="AH34" s="1">
        <v>9.5055422298859504</v>
      </c>
      <c r="AI34" s="1"/>
      <c r="AJ34" s="1">
        <v>11.419446406994901</v>
      </c>
      <c r="AK34" s="1">
        <v>8.45924397243801</v>
      </c>
      <c r="AL34" s="1">
        <v>7.2160088319282503</v>
      </c>
      <c r="AM34" s="1">
        <v>6.13166954601654</v>
      </c>
      <c r="AN34" s="1">
        <v>5.1887708239475403</v>
      </c>
      <c r="AO34" s="1">
        <v>4.3513682552677704</v>
      </c>
      <c r="AP34" s="1">
        <v>3.55907515479434</v>
      </c>
      <c r="AQ34" s="1">
        <v>2.7263089549579398</v>
      </c>
      <c r="AR34" s="1">
        <v>1.81895473027055</v>
      </c>
      <c r="AS34" s="1">
        <v>0.87339755997436697</v>
      </c>
    </row>
    <row r="35" spans="2:65" ht="18" x14ac:dyDescent="0.4">
      <c r="B35" s="106" t="str">
        <f>Input!C17</f>
        <v>10Y</v>
      </c>
      <c r="C35" s="106">
        <f>Input!J17</f>
        <v>-5.6150000000000002</v>
      </c>
      <c r="D35" s="106">
        <f>Input!I17</f>
        <v>-2.3650000000000002</v>
      </c>
      <c r="E35" s="106">
        <f>Input!K17</f>
        <v>0.65499999999999903</v>
      </c>
      <c r="F35" s="106">
        <f>Input!L17</f>
        <v>3.27</v>
      </c>
      <c r="G35" s="60">
        <v>10.928205653137415</v>
      </c>
      <c r="H35" s="60">
        <v>10.257500000000164</v>
      </c>
      <c r="I35" s="60">
        <v>9.7199286837002177</v>
      </c>
      <c r="J35" s="60">
        <v>9.3648453673651151</v>
      </c>
      <c r="K35" s="60">
        <v>9.2674999999999983</v>
      </c>
      <c r="L35" s="60">
        <v>9.3850057380677168</v>
      </c>
      <c r="M35" s="60">
        <v>9.590116092904049</v>
      </c>
      <c r="N35" s="60">
        <v>9.7635814516444537</v>
      </c>
      <c r="O35" s="60">
        <v>9.7784072562222111</v>
      </c>
      <c r="P35" s="60">
        <v>9.7949999999999999</v>
      </c>
      <c r="Q35" s="60">
        <v>9.7480482712153744</v>
      </c>
      <c r="R35" s="60">
        <v>9.8599786045411015</v>
      </c>
      <c r="S35" s="60">
        <v>10.160925075802719</v>
      </c>
      <c r="T35" s="60">
        <v>10.726546076966821</v>
      </c>
      <c r="U35" s="60">
        <v>11.6325</v>
      </c>
      <c r="V35" s="60">
        <v>12.907169562054776</v>
      </c>
      <c r="W35" s="60">
        <v>14.389834781027389</v>
      </c>
      <c r="X35" s="60">
        <v>15.872499999999997</v>
      </c>
      <c r="Y35" s="60">
        <v>17.285833333333333</v>
      </c>
      <c r="Z35" s="56"/>
      <c r="AA35" s="1">
        <v>10.928202892674101</v>
      </c>
      <c r="AB35" s="1">
        <v>10.2574999999998</v>
      </c>
      <c r="AC35" s="1">
        <v>9.7199291167350701</v>
      </c>
      <c r="AD35" s="1">
        <v>9.3648453770885904</v>
      </c>
      <c r="AE35" s="1">
        <v>9.2674999998507204</v>
      </c>
      <c r="AF35" s="1">
        <v>9.3850058596775998</v>
      </c>
      <c r="AG35" s="1">
        <v>9.5901160646034196</v>
      </c>
      <c r="AH35" s="1">
        <v>9.7635813739331105</v>
      </c>
      <c r="AI35" s="1"/>
      <c r="AJ35" s="1">
        <v>9.7949999999999999</v>
      </c>
      <c r="AK35" s="1">
        <v>9.74804824720953</v>
      </c>
      <c r="AL35" s="1">
        <v>9.8599786020867697</v>
      </c>
      <c r="AM35" s="1">
        <v>10.1609250626421</v>
      </c>
      <c r="AN35" s="1">
        <v>10.726546225654101</v>
      </c>
      <c r="AO35" s="1">
        <v>11.6325000000499</v>
      </c>
      <c r="AP35" s="1">
        <v>12.9071695643335</v>
      </c>
      <c r="AQ35" s="1">
        <v>14.389834781834301</v>
      </c>
      <c r="AR35" s="1">
        <v>15.872500036854699</v>
      </c>
      <c r="AS35" s="1">
        <v>17.285833328596802</v>
      </c>
    </row>
    <row r="36" spans="2:65" ht="18" x14ac:dyDescent="0.4">
      <c r="B36" s="106"/>
      <c r="C36" s="106"/>
      <c r="D36" s="106"/>
      <c r="E36" s="106"/>
      <c r="F36" s="106"/>
      <c r="G36" s="61">
        <v>179.49844921122042</v>
      </c>
      <c r="H36" s="61">
        <v>152.29338513391818</v>
      </c>
      <c r="I36" s="61">
        <v>136.97121815462856</v>
      </c>
      <c r="J36" s="61">
        <v>126.8458817262342</v>
      </c>
      <c r="K36" s="61">
        <v>119.60980347167779</v>
      </c>
      <c r="L36" s="61">
        <v>113.72403988565856</v>
      </c>
      <c r="M36" s="61">
        <v>108.18680409302107</v>
      </c>
      <c r="N36" s="61">
        <v>102.54087628037377</v>
      </c>
      <c r="O36" s="61">
        <v>96.71984157731066</v>
      </c>
      <c r="P36" s="61">
        <v>98.069998834211049</v>
      </c>
      <c r="Q36" s="61">
        <v>92.044664883860108</v>
      </c>
      <c r="R36" s="61">
        <v>89.128662626096116</v>
      </c>
      <c r="S36" s="61">
        <v>85.842113751653784</v>
      </c>
      <c r="T36" s="61">
        <v>81.920542127318484</v>
      </c>
      <c r="U36" s="61">
        <v>77.028650749760104</v>
      </c>
      <c r="V36" s="61">
        <v>70.85138214614966</v>
      </c>
      <c r="W36" s="61">
        <v>63.373168478377089</v>
      </c>
      <c r="X36" s="61">
        <v>54.575397936712527</v>
      </c>
      <c r="Y36" s="61">
        <v>43.5258877206915</v>
      </c>
      <c r="Z36" s="56"/>
      <c r="AA36" s="1">
        <v>179.630091977766</v>
      </c>
      <c r="AB36" s="1">
        <v>152.405178419051</v>
      </c>
      <c r="AC36" s="1">
        <v>137.07177478089301</v>
      </c>
      <c r="AD36" s="1">
        <v>126.93898864366901</v>
      </c>
      <c r="AE36" s="1">
        <v>119.697587484331</v>
      </c>
      <c r="AF36" s="1">
        <v>113.807504046728</v>
      </c>
      <c r="AG36" s="1">
        <v>108.26621374253</v>
      </c>
      <c r="AH36" s="1">
        <v>102.61614870015001</v>
      </c>
      <c r="AI36" s="1"/>
      <c r="AJ36" s="1">
        <v>98.1419819322292</v>
      </c>
      <c r="AK36" s="1">
        <v>92.112228996973698</v>
      </c>
      <c r="AL36" s="1">
        <v>89.194083816268801</v>
      </c>
      <c r="AM36" s="1">
        <v>85.905118796650996</v>
      </c>
      <c r="AN36" s="1">
        <v>81.980668102354898</v>
      </c>
      <c r="AO36" s="1">
        <v>77.085189053977999</v>
      </c>
      <c r="AP36" s="1">
        <v>70.903390107239701</v>
      </c>
      <c r="AQ36" s="1">
        <v>63.419689413648001</v>
      </c>
      <c r="AR36" s="1">
        <v>54.615458199195899</v>
      </c>
      <c r="AS36" s="1">
        <v>43.557829695115203</v>
      </c>
    </row>
    <row r="37" spans="2:65" ht="18" x14ac:dyDescent="0.4">
      <c r="B37" s="106"/>
      <c r="C37" s="106"/>
      <c r="D37" s="106"/>
      <c r="E37" s="106"/>
      <c r="F37" s="106"/>
      <c r="G37" s="57">
        <v>0.76176443047060527</v>
      </c>
      <c r="H37" s="57">
        <v>1.6405888545636511</v>
      </c>
      <c r="I37" s="57">
        <v>2.5799737706442616</v>
      </c>
      <c r="J37" s="57">
        <v>3.6149339545050148</v>
      </c>
      <c r="K37" s="57">
        <v>4.8523480931912877</v>
      </c>
      <c r="L37" s="57">
        <v>6.3984586775717354</v>
      </c>
      <c r="M37" s="57">
        <v>8.301593856913577</v>
      </c>
      <c r="N37" s="57">
        <v>10.567049718955888</v>
      </c>
      <c r="O37" s="57">
        <v>13.111920041374932</v>
      </c>
      <c r="P37" s="57">
        <v>12.50711621322313</v>
      </c>
      <c r="Q37" s="57">
        <v>9.1961417317075611</v>
      </c>
      <c r="R37" s="57">
        <v>7.9388668055599609</v>
      </c>
      <c r="S37" s="57">
        <v>6.8463202023438141</v>
      </c>
      <c r="T37" s="57">
        <v>5.8970088922185075</v>
      </c>
      <c r="U37" s="57">
        <v>5.0451289795789664</v>
      </c>
      <c r="V37" s="57">
        <v>4.2129488769648882</v>
      </c>
      <c r="W37" s="57">
        <v>3.2901184042724259</v>
      </c>
      <c r="X37" s="57">
        <v>2.2334003632210329</v>
      </c>
      <c r="Y37" s="57">
        <v>1.0902090552365278</v>
      </c>
      <c r="Z37" s="56"/>
      <c r="AA37" s="1">
        <v>0.75850908060184796</v>
      </c>
      <c r="AB37" s="1">
        <v>1.6335471036651901</v>
      </c>
      <c r="AC37" s="1">
        <v>2.5688836920218399</v>
      </c>
      <c r="AD37" s="1">
        <v>3.5994040319344101</v>
      </c>
      <c r="AE37" s="1">
        <v>4.8315218596934599</v>
      </c>
      <c r="AF37" s="1">
        <v>6.3710039262868898</v>
      </c>
      <c r="AG37" s="1">
        <v>8.2659504815941407</v>
      </c>
      <c r="AH37" s="1">
        <v>10.5216733895956</v>
      </c>
      <c r="AI37" s="1"/>
      <c r="AJ37" s="1">
        <v>12.4534210539314</v>
      </c>
      <c r="AK37" s="1">
        <v>9.15664814763179</v>
      </c>
      <c r="AL37" s="1">
        <v>7.9047792085819504</v>
      </c>
      <c r="AM37" s="1">
        <v>6.8169339790370396</v>
      </c>
      <c r="AN37" s="1">
        <v>5.87170183138615</v>
      </c>
      <c r="AO37" s="1">
        <v>5.0234741224250099</v>
      </c>
      <c r="AP37" s="1">
        <v>4.1948575813818101</v>
      </c>
      <c r="AQ37" s="1">
        <v>3.2759829130317999</v>
      </c>
      <c r="AR37" s="1">
        <v>2.22380542522825</v>
      </c>
      <c r="AS37" s="1">
        <v>1.0855350552363601</v>
      </c>
    </row>
    <row r="38" spans="2:65" s="50" customFormat="1" x14ac:dyDescent="0.4"/>
    <row r="41" spans="2:65" x14ac:dyDescent="0.4">
      <c r="G41">
        <f>ABS(G5-AA5)</f>
        <v>1.8775043741925401E-9</v>
      </c>
      <c r="H41">
        <f t="shared" ref="H41:Y41" si="0">ABS(H5-AB5)</f>
        <v>4.5002224169365945E-11</v>
      </c>
      <c r="I41">
        <f t="shared" si="0"/>
        <v>1.522070114390317E-7</v>
      </c>
      <c r="J41">
        <f t="shared" si="0"/>
        <v>3.1525357080397498E-7</v>
      </c>
      <c r="K41">
        <f t="shared" si="0"/>
        <v>1.6901999799756595E-9</v>
      </c>
      <c r="L41">
        <f t="shared" si="0"/>
        <v>1.1658752292476038E-6</v>
      </c>
      <c r="M41">
        <f t="shared" si="0"/>
        <v>2.9307103588394057E-6</v>
      </c>
      <c r="N41">
        <f t="shared" si="0"/>
        <v>4.8730654178541499E-6</v>
      </c>
      <c r="O41">
        <f t="shared" si="0"/>
        <v>6.5560223028171549E-6</v>
      </c>
      <c r="P41">
        <f t="shared" si="0"/>
        <v>0</v>
      </c>
      <c r="Q41">
        <f t="shared" si="0"/>
        <v>2.7182173525375219E-6</v>
      </c>
      <c r="R41">
        <f t="shared" si="0"/>
        <v>3.5412799270773121E-7</v>
      </c>
      <c r="S41">
        <f t="shared" si="0"/>
        <v>4.5888705635377391E-7</v>
      </c>
      <c r="T41">
        <f t="shared" si="0"/>
        <v>3.6273848813550558E-7</v>
      </c>
      <c r="U41">
        <f t="shared" si="0"/>
        <v>6.2897242969484068E-11</v>
      </c>
      <c r="V41">
        <f t="shared" si="0"/>
        <v>1.2473629240616901E-7</v>
      </c>
      <c r="W41">
        <f t="shared" si="0"/>
        <v>6.0959848724451149E-8</v>
      </c>
      <c r="X41">
        <f t="shared" si="0"/>
        <v>1.7596590851098881E-11</v>
      </c>
      <c r="Y41">
        <f t="shared" si="0"/>
        <v>5.035296624100738E-10</v>
      </c>
    </row>
    <row r="42" spans="2:65" x14ac:dyDescent="0.4">
      <c r="AA42">
        <f t="shared" ref="AA42:AS42" si="1">ABS(G6-AA6)</f>
        <v>7.6718282360559442E-3</v>
      </c>
      <c r="AB42">
        <f t="shared" si="1"/>
        <v>7.6169929283480542E-3</v>
      </c>
      <c r="AC42">
        <f t="shared" si="1"/>
        <v>7.5783626323584485E-3</v>
      </c>
      <c r="AD42">
        <f t="shared" si="1"/>
        <v>7.5480743135187822E-3</v>
      </c>
      <c r="AE42">
        <f t="shared" si="1"/>
        <v>7.5237045048481832E-3</v>
      </c>
      <c r="AF42">
        <f t="shared" si="1"/>
        <v>7.5034683139563185E-3</v>
      </c>
      <c r="AG42">
        <f t="shared" si="1"/>
        <v>7.4854596255988781E-3</v>
      </c>
      <c r="AH42">
        <f t="shared" si="1"/>
        <v>7.4680706014191856E-3</v>
      </c>
      <c r="AI42">
        <f t="shared" si="1"/>
        <v>7.4504593283393206E-3</v>
      </c>
      <c r="AJ42">
        <f t="shared" si="1"/>
        <v>7.415049794872175E-3</v>
      </c>
      <c r="AK42">
        <f t="shared" si="1"/>
        <v>7.3804036266267303E-3</v>
      </c>
      <c r="AL42">
        <f t="shared" si="1"/>
        <v>7.3619504624389265E-3</v>
      </c>
      <c r="AM42">
        <f t="shared" si="1"/>
        <v>7.3425391024102282E-3</v>
      </c>
      <c r="AN42">
        <f t="shared" si="1"/>
        <v>7.3209128522648825E-3</v>
      </c>
      <c r="AO42">
        <f t="shared" si="1"/>
        <v>7.2947235742333305E-3</v>
      </c>
      <c r="AP42">
        <f t="shared" si="1"/>
        <v>7.2611358191068121E-3</v>
      </c>
      <c r="AQ42">
        <f t="shared" si="1"/>
        <v>7.2173290468811047E-3</v>
      </c>
      <c r="AR42">
        <f t="shared" si="1"/>
        <v>7.1602985253775842E-3</v>
      </c>
      <c r="AS42">
        <f t="shared" si="1"/>
        <v>7.0795955407731981E-3</v>
      </c>
    </row>
    <row r="43" spans="2:65" x14ac:dyDescent="0.4">
      <c r="AU43">
        <f>G7-AA7</f>
        <v>-9.0618810314607723E-7</v>
      </c>
      <c r="AV43">
        <f t="shared" ref="AV43:BM43" si="2">H7-AB7</f>
        <v>4.0925202354769041E-7</v>
      </c>
      <c r="AW43">
        <f t="shared" si="2"/>
        <v>1.402238021447344E-6</v>
      </c>
      <c r="AX43">
        <f t="shared" si="2"/>
        <v>1.0700364568294596E-6</v>
      </c>
      <c r="AY43">
        <f t="shared" si="2"/>
        <v>2.0796225241870303E-8</v>
      </c>
      <c r="AZ43">
        <f t="shared" si="2"/>
        <v>-4.833760348654792E-7</v>
      </c>
      <c r="BA43">
        <f t="shared" si="2"/>
        <v>7.2670572837107983E-7</v>
      </c>
      <c r="BB43">
        <f t="shared" si="2"/>
        <v>3.6609090361405805E-6</v>
      </c>
      <c r="BC43">
        <f t="shared" si="2"/>
        <v>5.1001270591211068E-6</v>
      </c>
      <c r="BD43">
        <f t="shared" si="2"/>
        <v>-1.1783828989697653E-5</v>
      </c>
      <c r="BE43">
        <f t="shared" si="2"/>
        <v>4.5601216932533717E-6</v>
      </c>
      <c r="BF43">
        <f t="shared" si="2"/>
        <v>3.1583731336937149E-6</v>
      </c>
      <c r="BG43">
        <f t="shared" si="2"/>
        <v>5.2076504875042673E-7</v>
      </c>
      <c r="BH43">
        <f t="shared" si="2"/>
        <v>-5.7704743106068435E-7</v>
      </c>
      <c r="BI43">
        <f t="shared" si="2"/>
        <v>-4.3249692716074151E-10</v>
      </c>
      <c r="BJ43">
        <f t="shared" si="2"/>
        <v>1.2015689398459095E-6</v>
      </c>
      <c r="BK43">
        <f t="shared" si="2"/>
        <v>1.7190384666299074E-6</v>
      </c>
      <c r="BL43">
        <f t="shared" si="2"/>
        <v>5.9060026713630975E-7</v>
      </c>
      <c r="BM43">
        <f t="shared" si="2"/>
        <v>-1.1747572953857421E-6</v>
      </c>
    </row>
    <row r="44" spans="2:65" x14ac:dyDescent="0.4">
      <c r="G44">
        <f t="shared" ref="G44:Y44" si="3">ABS(G8-AA8)</f>
        <v>1.2519496550567055E-8</v>
      </c>
      <c r="H44">
        <f t="shared" si="3"/>
        <v>2.4300561562995426E-11</v>
      </c>
      <c r="I44">
        <f t="shared" si="3"/>
        <v>4.6377657270113559E-10</v>
      </c>
      <c r="J44">
        <f t="shared" si="3"/>
        <v>1.0020071883332093E-8</v>
      </c>
      <c r="K44">
        <f t="shared" si="3"/>
        <v>3.1299407510232413E-11</v>
      </c>
      <c r="L44">
        <f t="shared" si="3"/>
        <v>1.0892703983245156E-7</v>
      </c>
      <c r="M44">
        <f t="shared" si="3"/>
        <v>4.5707542639661369E-7</v>
      </c>
      <c r="N44">
        <f t="shared" si="3"/>
        <v>1.17050876013991E-6</v>
      </c>
      <c r="O44">
        <f t="shared" si="3"/>
        <v>2.3708691045953856E-6</v>
      </c>
      <c r="P44">
        <f t="shared" si="3"/>
        <v>0</v>
      </c>
      <c r="Q44">
        <f t="shared" si="3"/>
        <v>2.3557266821683243E-6</v>
      </c>
      <c r="R44">
        <f t="shared" si="3"/>
        <v>1.303071963221214E-6</v>
      </c>
      <c r="S44">
        <f t="shared" si="3"/>
        <v>6.0601220930323052E-7</v>
      </c>
      <c r="T44">
        <f t="shared" si="3"/>
        <v>1.9488524216626502E-7</v>
      </c>
      <c r="U44">
        <f t="shared" si="3"/>
        <v>6.9988459472369868E-13</v>
      </c>
      <c r="V44">
        <f t="shared" si="3"/>
        <v>4.8881815928325523E-8</v>
      </c>
      <c r="W44">
        <f t="shared" si="3"/>
        <v>2.4520307562170274E-8</v>
      </c>
      <c r="X44">
        <f t="shared" si="3"/>
        <v>1.3997691894473974E-12</v>
      </c>
      <c r="Y44">
        <f t="shared" si="3"/>
        <v>4.6732395730941789E-11</v>
      </c>
    </row>
    <row r="45" spans="2:65" x14ac:dyDescent="0.4">
      <c r="AA45">
        <f t="shared" ref="AA45:AS45" si="4">ABS(G9-AA9)</f>
        <v>4.359231462359503E-3</v>
      </c>
      <c r="AB45">
        <f t="shared" si="4"/>
        <v>4.3025328750445624E-3</v>
      </c>
      <c r="AC45">
        <f t="shared" si="4"/>
        <v>4.2609460409437361E-3</v>
      </c>
      <c r="AD45">
        <f t="shared" si="4"/>
        <v>4.2280391211022561E-3</v>
      </c>
      <c r="AE45">
        <f t="shared" si="4"/>
        <v>4.2016934134494477E-3</v>
      </c>
      <c r="AF45">
        <f t="shared" si="4"/>
        <v>4.1799885500495293E-3</v>
      </c>
      <c r="AG45">
        <f t="shared" si="4"/>
        <v>4.1607100760643334E-3</v>
      </c>
      <c r="AH45">
        <f t="shared" si="4"/>
        <v>4.141759172739512E-3</v>
      </c>
      <c r="AI45">
        <f t="shared" si="4"/>
        <v>4.1221866735554613E-3</v>
      </c>
      <c r="AJ45">
        <f t="shared" si="4"/>
        <v>4.0762666424711824E-3</v>
      </c>
      <c r="AK45">
        <f t="shared" si="4"/>
        <v>4.0336290356037807E-3</v>
      </c>
      <c r="AL45">
        <f t="shared" si="4"/>
        <v>4.0143145707816075E-3</v>
      </c>
      <c r="AM45">
        <f t="shared" si="4"/>
        <v>3.9944710646011572E-3</v>
      </c>
      <c r="AN45">
        <f t="shared" si="4"/>
        <v>3.9731628935726349E-3</v>
      </c>
      <c r="AO45">
        <f t="shared" si="4"/>
        <v>3.9479494772365342E-3</v>
      </c>
      <c r="AP45">
        <f t="shared" si="4"/>
        <v>3.9158688542499931E-3</v>
      </c>
      <c r="AQ45">
        <f t="shared" si="4"/>
        <v>3.8743262560956282E-3</v>
      </c>
      <c r="AR45">
        <f t="shared" si="4"/>
        <v>3.8206053850728949E-3</v>
      </c>
      <c r="AS45">
        <f t="shared" si="4"/>
        <v>3.7472012267585342E-3</v>
      </c>
    </row>
    <row r="46" spans="2:65" x14ac:dyDescent="0.4">
      <c r="AU46">
        <f t="shared" ref="AU46:BM46" si="5">G10-AA10</f>
        <v>-1.8149891827662357E-6</v>
      </c>
      <c r="AV46">
        <f t="shared" si="5"/>
        <v>7.156232897931325E-7</v>
      </c>
      <c r="AW46">
        <f t="shared" si="5"/>
        <v>2.6705847280261708E-6</v>
      </c>
      <c r="AX46">
        <f t="shared" si="5"/>
        <v>1.9668179922494033E-6</v>
      </c>
      <c r="AY46">
        <f t="shared" si="5"/>
        <v>-2.5926564783951278E-7</v>
      </c>
      <c r="AZ46">
        <f t="shared" si="5"/>
        <v>-1.4555626117740417E-6</v>
      </c>
      <c r="BA46">
        <f t="shared" si="5"/>
        <v>7.7745342386137395E-7</v>
      </c>
      <c r="BB46">
        <f t="shared" si="5"/>
        <v>6.3002595265260197E-6</v>
      </c>
      <c r="BC46">
        <f t="shared" si="5"/>
        <v>7.950517140864477E-6</v>
      </c>
      <c r="BD46">
        <f t="shared" si="5"/>
        <v>-1.8085614590823695E-5</v>
      </c>
      <c r="BE46">
        <f t="shared" si="5"/>
        <v>7.6754291018499288E-6</v>
      </c>
      <c r="BF46">
        <f t="shared" si="5"/>
        <v>4.9967720201493648E-6</v>
      </c>
      <c r="BG46">
        <f t="shared" si="5"/>
        <v>2.7939594748893626E-7</v>
      </c>
      <c r="BH46">
        <f t="shared" si="5"/>
        <v>-1.5674075404259469E-6</v>
      </c>
      <c r="BI46">
        <f t="shared" si="5"/>
        <v>-3.3949005207034588E-7</v>
      </c>
      <c r="BJ46">
        <f t="shared" si="5"/>
        <v>2.0219315336467147E-6</v>
      </c>
      <c r="BK46">
        <f t="shared" si="5"/>
        <v>3.0213063155759556E-6</v>
      </c>
      <c r="BL46">
        <f t="shared" si="5"/>
        <v>1.0557119760057354E-6</v>
      </c>
      <c r="BM46">
        <f t="shared" si="5"/>
        <v>-2.0806865099198824E-6</v>
      </c>
    </row>
    <row r="47" spans="2:65" x14ac:dyDescent="0.4">
      <c r="G47">
        <f t="shared" ref="G47:Y47" si="6">ABS(G11-AA11)</f>
        <v>9.0481617043280949E-7</v>
      </c>
      <c r="H47">
        <f t="shared" si="6"/>
        <v>7.3859141025423014E-11</v>
      </c>
      <c r="I47">
        <f t="shared" si="6"/>
        <v>9.5305008329660268E-8</v>
      </c>
      <c r="J47">
        <f t="shared" si="6"/>
        <v>1.9454309629907129E-7</v>
      </c>
      <c r="K47">
        <f t="shared" si="6"/>
        <v>2.6245938755664611E-9</v>
      </c>
      <c r="L47">
        <f t="shared" si="6"/>
        <v>1.8115949611541282E-6</v>
      </c>
      <c r="M47">
        <f t="shared" si="6"/>
        <v>6.6405420806603388E-6</v>
      </c>
      <c r="N47">
        <f t="shared" si="6"/>
        <v>1.5770686516702881E-5</v>
      </c>
      <c r="O47">
        <f t="shared" si="6"/>
        <v>3.0416473004279965E-5</v>
      </c>
      <c r="P47">
        <f t="shared" si="6"/>
        <v>0</v>
      </c>
      <c r="Q47">
        <f t="shared" si="6"/>
        <v>3.0407287754385948E-5</v>
      </c>
      <c r="R47">
        <f t="shared" si="6"/>
        <v>1.8670536508835767E-5</v>
      </c>
      <c r="S47">
        <f t="shared" si="6"/>
        <v>9.6850251480873339E-6</v>
      </c>
      <c r="T47">
        <f t="shared" si="6"/>
        <v>3.4604462513243561E-6</v>
      </c>
      <c r="U47">
        <f t="shared" si="6"/>
        <v>2.1623041135399035E-9</v>
      </c>
      <c r="V47">
        <f t="shared" si="6"/>
        <v>9.2300124165944908E-7</v>
      </c>
      <c r="W47">
        <f t="shared" si="6"/>
        <v>4.615253210715764E-7</v>
      </c>
      <c r="X47">
        <f t="shared" si="6"/>
        <v>5.0093262871087063E-13</v>
      </c>
      <c r="Y47">
        <f t="shared" si="6"/>
        <v>1.5997869695638656E-11</v>
      </c>
    </row>
    <row r="48" spans="2:65" x14ac:dyDescent="0.4">
      <c r="AA48">
        <f t="shared" ref="AA48:AS48" si="7">ABS(G12-AA12)</f>
        <v>1.1502137595925888E-2</v>
      </c>
      <c r="AB48">
        <f t="shared" si="7"/>
        <v>1.1292255008754637E-2</v>
      </c>
      <c r="AC48">
        <f t="shared" si="7"/>
        <v>1.1152523827348659E-2</v>
      </c>
      <c r="AD48">
        <f t="shared" si="7"/>
        <v>1.1047454993104111E-2</v>
      </c>
      <c r="AE48">
        <f t="shared" si="7"/>
        <v>1.0966705363557594E-2</v>
      </c>
      <c r="AF48">
        <f t="shared" si="7"/>
        <v>1.0904117909461775E-2</v>
      </c>
      <c r="AG48">
        <f t="shared" si="7"/>
        <v>1.0853937612097297E-2</v>
      </c>
      <c r="AH48">
        <f t="shared" si="7"/>
        <v>1.0812079945594633E-2</v>
      </c>
      <c r="AI48">
        <f t="shared" si="7"/>
        <v>1.0777542005683927E-2</v>
      </c>
      <c r="AJ48">
        <f t="shared" si="7"/>
        <v>1.0299749055917573E-2</v>
      </c>
      <c r="AK48">
        <f t="shared" si="7"/>
        <v>9.8681111706468982E-3</v>
      </c>
      <c r="AL48">
        <f t="shared" si="7"/>
        <v>9.8262745240731419E-3</v>
      </c>
      <c r="AM48">
        <f t="shared" si="7"/>
        <v>9.778219483820294E-3</v>
      </c>
      <c r="AN48">
        <f t="shared" si="7"/>
        <v>9.7210105941769598E-3</v>
      </c>
      <c r="AO48">
        <f t="shared" si="7"/>
        <v>9.6488500698796997E-3</v>
      </c>
      <c r="AP48">
        <f t="shared" si="7"/>
        <v>9.5546858491388775E-3</v>
      </c>
      <c r="AQ48">
        <f t="shared" si="7"/>
        <v>9.4329537500073002E-3</v>
      </c>
      <c r="AR48">
        <f t="shared" si="7"/>
        <v>9.2751575198519731E-3</v>
      </c>
      <c r="AS48">
        <f t="shared" si="7"/>
        <v>9.0499644935420065E-3</v>
      </c>
    </row>
    <row r="49" spans="7:65" x14ac:dyDescent="0.4">
      <c r="AU49">
        <f t="shared" ref="AU49:BM49" si="8">G13-AA13</f>
        <v>-1.5611478341170937E-6</v>
      </c>
      <c r="AV49">
        <f t="shared" si="8"/>
        <v>4.1823061390777738E-6</v>
      </c>
      <c r="AW49">
        <f t="shared" si="8"/>
        <v>9.9865653583330882E-6</v>
      </c>
      <c r="AX49">
        <f t="shared" si="8"/>
        <v>1.2963504726237751E-5</v>
      </c>
      <c r="AY49">
        <f t="shared" si="8"/>
        <v>1.5120609597962797E-5</v>
      </c>
      <c r="AZ49">
        <f t="shared" si="8"/>
        <v>2.0693313148134607E-5</v>
      </c>
      <c r="BA49">
        <f t="shared" si="8"/>
        <v>3.3912033929883734E-5</v>
      </c>
      <c r="BB49">
        <f t="shared" si="8"/>
        <v>5.5560356448047798E-5</v>
      </c>
      <c r="BC49">
        <f t="shared" si="8"/>
        <v>7.6161646706651709E-5</v>
      </c>
      <c r="BD49">
        <f t="shared" si="8"/>
        <v>-1.5027017345747851E-4</v>
      </c>
      <c r="BE49">
        <f t="shared" si="8"/>
        <v>5.4231513054503466E-5</v>
      </c>
      <c r="BF49">
        <f t="shared" si="8"/>
        <v>4.165800846323009E-5</v>
      </c>
      <c r="BG49">
        <f t="shared" si="8"/>
        <v>2.7681081063990476E-5</v>
      </c>
      <c r="BH49">
        <f t="shared" si="8"/>
        <v>1.8634239776993411E-5</v>
      </c>
      <c r="BI49">
        <f t="shared" si="8"/>
        <v>1.4694179089946857E-5</v>
      </c>
      <c r="BJ49">
        <f t="shared" si="8"/>
        <v>1.31808883918616E-5</v>
      </c>
      <c r="BK49">
        <f t="shared" si="8"/>
        <v>1.0694105807562693E-5</v>
      </c>
      <c r="BL49">
        <f t="shared" si="8"/>
        <v>5.0456003118370951E-6</v>
      </c>
      <c r="BM49">
        <f t="shared" si="8"/>
        <v>-1.451137817132242E-6</v>
      </c>
    </row>
    <row r="50" spans="7:65" x14ac:dyDescent="0.4">
      <c r="G50">
        <f t="shared" ref="G50:Y50" si="9">ABS(G14-AA14)</f>
        <v>2.3068248733437713E-6</v>
      </c>
      <c r="H50">
        <f t="shared" si="9"/>
        <v>1.6997070417801297E-10</v>
      </c>
      <c r="I50">
        <f t="shared" si="9"/>
        <v>6.6520532904235097E-7</v>
      </c>
      <c r="J50">
        <f t="shared" si="9"/>
        <v>3.6268680680962007E-7</v>
      </c>
      <c r="K50">
        <f t="shared" si="9"/>
        <v>7.8139983372693678E-10</v>
      </c>
      <c r="L50">
        <f t="shared" si="9"/>
        <v>1.1435683191507451E-6</v>
      </c>
      <c r="M50">
        <f t="shared" si="9"/>
        <v>6.0053174681939936E-6</v>
      </c>
      <c r="N50">
        <f t="shared" si="9"/>
        <v>1.6559072918198581E-5</v>
      </c>
      <c r="O50">
        <f t="shared" si="9"/>
        <v>3.4594531344467327E-5</v>
      </c>
      <c r="P50">
        <f t="shared" si="9"/>
        <v>0</v>
      </c>
      <c r="Q50">
        <f t="shared" si="9"/>
        <v>3.2219462484661676E-5</v>
      </c>
      <c r="R50">
        <f t="shared" si="9"/>
        <v>1.7980220546220949E-5</v>
      </c>
      <c r="S50">
        <f t="shared" si="9"/>
        <v>8.4467797289988766E-6</v>
      </c>
      <c r="T50">
        <f t="shared" si="9"/>
        <v>2.7456053679486558E-6</v>
      </c>
      <c r="U50">
        <f t="shared" si="9"/>
        <v>1.3471002091591799E-9</v>
      </c>
      <c r="V50">
        <f t="shared" si="9"/>
        <v>6.9323227691597822E-7</v>
      </c>
      <c r="W50">
        <f t="shared" si="9"/>
        <v>3.466297897602999E-7</v>
      </c>
      <c r="X50">
        <f t="shared" si="9"/>
        <v>3.9968028886505635E-13</v>
      </c>
      <c r="Y50">
        <f t="shared" si="9"/>
        <v>8.0717654782347381E-12</v>
      </c>
    </row>
    <row r="51" spans="7:65" x14ac:dyDescent="0.4">
      <c r="AA51">
        <f t="shared" ref="AA51:AS51" si="10">ABS(G15-AA15)</f>
        <v>1.8113848280847833E-2</v>
      </c>
      <c r="AB51">
        <f t="shared" si="10"/>
        <v>1.7684315031203823E-2</v>
      </c>
      <c r="AC51">
        <f t="shared" si="10"/>
        <v>1.7404369199965686E-2</v>
      </c>
      <c r="AD51">
        <f t="shared" si="10"/>
        <v>1.7195754447982381E-2</v>
      </c>
      <c r="AE51">
        <f t="shared" si="10"/>
        <v>1.7035989188030953E-2</v>
      </c>
      <c r="AF51">
        <f t="shared" si="10"/>
        <v>1.6912253632256125E-2</v>
      </c>
      <c r="AG51">
        <f t="shared" si="10"/>
        <v>1.681321512728573E-2</v>
      </c>
      <c r="AH51">
        <f t="shared" si="10"/>
        <v>1.6731490580355057E-2</v>
      </c>
      <c r="AI51">
        <f t="shared" si="10"/>
        <v>1.6665162800990174E-2</v>
      </c>
      <c r="AJ51">
        <f t="shared" si="10"/>
        <v>1.5773680110129362E-2</v>
      </c>
      <c r="AK51">
        <f t="shared" si="10"/>
        <v>1.4995131719388155E-2</v>
      </c>
      <c r="AL51">
        <f t="shared" si="10"/>
        <v>1.4920414434499207E-2</v>
      </c>
      <c r="AM51">
        <f t="shared" si="10"/>
        <v>1.4833002032247578E-2</v>
      </c>
      <c r="AN51">
        <f t="shared" si="10"/>
        <v>1.4727416840003116E-2</v>
      </c>
      <c r="AO51">
        <f t="shared" si="10"/>
        <v>1.4594134864267971E-2</v>
      </c>
      <c r="AP51">
        <f t="shared" si="10"/>
        <v>1.4421602500078734E-2</v>
      </c>
      <c r="AQ51">
        <f t="shared" si="10"/>
        <v>1.420054766992962E-2</v>
      </c>
      <c r="AR51">
        <f t="shared" si="10"/>
        <v>1.3914986356809322E-2</v>
      </c>
      <c r="AS51">
        <f t="shared" si="10"/>
        <v>1.3504506586698994E-2</v>
      </c>
    </row>
    <row r="52" spans="7:65" x14ac:dyDescent="0.4">
      <c r="AU52">
        <f t="shared" ref="AU52:BM52" si="11">G16-AA16</f>
        <v>-1.2157083952024639E-6</v>
      </c>
      <c r="AV52">
        <f t="shared" si="11"/>
        <v>7.4777707917417224E-6</v>
      </c>
      <c r="AW52">
        <f t="shared" si="11"/>
        <v>1.6876306142221686E-5</v>
      </c>
      <c r="AX52">
        <f t="shared" si="11"/>
        <v>2.339777235782492E-5</v>
      </c>
      <c r="AY52">
        <f t="shared" si="11"/>
        <v>2.9770761412306612E-5</v>
      </c>
      <c r="AZ52">
        <f t="shared" si="11"/>
        <v>4.1676838426152329E-5</v>
      </c>
      <c r="BA52">
        <f t="shared" si="11"/>
        <v>6.4939187771173579E-5</v>
      </c>
      <c r="BB52">
        <f t="shared" si="11"/>
        <v>1.0103721301080171E-4</v>
      </c>
      <c r="BC52">
        <f t="shared" si="11"/>
        <v>1.3801555960135659E-4</v>
      </c>
      <c r="BD52">
        <f t="shared" si="11"/>
        <v>-2.6931051805512141E-4</v>
      </c>
      <c r="BE52">
        <f t="shared" si="11"/>
        <v>9.7116317453682655E-5</v>
      </c>
      <c r="BF52">
        <f t="shared" si="11"/>
        <v>7.5178550732246663E-5</v>
      </c>
      <c r="BG52">
        <f t="shared" si="11"/>
        <v>5.2473686145582121E-5</v>
      </c>
      <c r="BH52">
        <f t="shared" si="11"/>
        <v>3.6598086067707314E-5</v>
      </c>
      <c r="BI52">
        <f t="shared" si="11"/>
        <v>2.7780104474572909E-5</v>
      </c>
      <c r="BJ52">
        <f t="shared" si="11"/>
        <v>2.275498411541399E-5</v>
      </c>
      <c r="BK52">
        <f t="shared" si="11"/>
        <v>1.727138833840236E-5</v>
      </c>
      <c r="BL52">
        <f t="shared" si="11"/>
        <v>8.5435391232735469E-6</v>
      </c>
      <c r="BM52">
        <f t="shared" si="11"/>
        <v>-7.9610974512700494E-7</v>
      </c>
    </row>
    <row r="53" spans="7:65" x14ac:dyDescent="0.4">
      <c r="G53">
        <f t="shared" ref="G53:Y53" si="12">ABS(G17-AA17)</f>
        <v>2.1571887161897507E-5</v>
      </c>
      <c r="H53">
        <f t="shared" si="12"/>
        <v>6.8858518886827369E-10</v>
      </c>
      <c r="I53">
        <f t="shared" si="12"/>
        <v>9.8802485020144104E-6</v>
      </c>
      <c r="J53">
        <f t="shared" si="12"/>
        <v>1.0710963220361691E-5</v>
      </c>
      <c r="K53">
        <f t="shared" si="12"/>
        <v>3.2986946507662651E-12</v>
      </c>
      <c r="L53">
        <f t="shared" si="12"/>
        <v>1.7080761168131176E-5</v>
      </c>
      <c r="M53">
        <f t="shared" si="12"/>
        <v>2.3943186949537676E-5</v>
      </c>
      <c r="N53">
        <f t="shared" si="12"/>
        <v>4.7300022654184204E-6</v>
      </c>
      <c r="O53">
        <f t="shared" si="12"/>
        <v>5.4843441549934369E-5</v>
      </c>
      <c r="P53">
        <f t="shared" si="12"/>
        <v>0</v>
      </c>
      <c r="Q53">
        <f t="shared" si="12"/>
        <v>8.2086391321567476E-5</v>
      </c>
      <c r="R53">
        <f t="shared" si="12"/>
        <v>5.1157743037322234E-5</v>
      </c>
      <c r="S53">
        <f t="shared" si="12"/>
        <v>2.6910557513915023E-5</v>
      </c>
      <c r="T53">
        <f t="shared" si="12"/>
        <v>9.7299072123746555E-6</v>
      </c>
      <c r="U53">
        <f t="shared" si="12"/>
        <v>3.298001871598899E-10</v>
      </c>
      <c r="V53">
        <f t="shared" si="12"/>
        <v>2.611727115464646E-6</v>
      </c>
      <c r="W53">
        <f t="shared" si="12"/>
        <v>1.3058666574750077E-6</v>
      </c>
      <c r="X53">
        <f t="shared" si="12"/>
        <v>8.3500140135583933E-10</v>
      </c>
      <c r="Y53">
        <f t="shared" si="12"/>
        <v>2.0978774273316958E-12</v>
      </c>
    </row>
    <row r="54" spans="7:65" x14ac:dyDescent="0.4">
      <c r="AA54">
        <f t="shared" ref="AA54:AS54" si="13">ABS(G18-AA18)</f>
        <v>5.5685562399503397E-2</v>
      </c>
      <c r="AB54">
        <f t="shared" si="13"/>
        <v>5.3784458633828081E-2</v>
      </c>
      <c r="AC54">
        <f t="shared" si="13"/>
        <v>5.2610925015358134E-2</v>
      </c>
      <c r="AD54">
        <f t="shared" si="13"/>
        <v>5.1772987614214117E-2</v>
      </c>
      <c r="AE54">
        <f t="shared" si="13"/>
        <v>5.1165019632009034E-2</v>
      </c>
      <c r="AF54">
        <f t="shared" si="13"/>
        <v>5.0727134538931296E-2</v>
      </c>
      <c r="AG54">
        <f t="shared" si="13"/>
        <v>5.0408209591552122E-2</v>
      </c>
      <c r="AH54">
        <f t="shared" si="13"/>
        <v>5.0185087224718927E-2</v>
      </c>
      <c r="AI54">
        <f t="shared" si="13"/>
        <v>5.0063170197120144E-2</v>
      </c>
      <c r="AJ54">
        <f t="shared" si="13"/>
        <v>4.5193047196192992E-2</v>
      </c>
      <c r="AK54">
        <f t="shared" si="13"/>
        <v>4.1179793413959942E-2</v>
      </c>
      <c r="AL54">
        <f t="shared" si="13"/>
        <v>4.1011781210926301E-2</v>
      </c>
      <c r="AM54">
        <f t="shared" si="13"/>
        <v>4.0784427993884265E-2</v>
      </c>
      <c r="AN54">
        <f t="shared" si="13"/>
        <v>4.0481045560682105E-2</v>
      </c>
      <c r="AO54">
        <f t="shared" si="13"/>
        <v>4.0074484221833018E-2</v>
      </c>
      <c r="AP54">
        <f t="shared" si="13"/>
        <v>3.9531871888556225E-2</v>
      </c>
      <c r="AQ54">
        <f t="shared" si="13"/>
        <v>3.8830540534021907E-2</v>
      </c>
      <c r="AR54">
        <f t="shared" si="13"/>
        <v>3.7921167160703817E-2</v>
      </c>
      <c r="AS54">
        <f t="shared" si="13"/>
        <v>3.6592136392656016E-2</v>
      </c>
    </row>
    <row r="55" spans="7:65" x14ac:dyDescent="0.4">
      <c r="AU55">
        <f t="shared" ref="AU55:BM55" si="14">G19-AA19</f>
        <v>8.7125180538993874E-6</v>
      </c>
      <c r="AV55">
        <f t="shared" si="14"/>
        <v>4.1390187213607987E-5</v>
      </c>
      <c r="AW55">
        <f t="shared" si="14"/>
        <v>8.3756950481683745E-5</v>
      </c>
      <c r="AX55">
        <f t="shared" si="14"/>
        <v>1.3127242752131174E-4</v>
      </c>
      <c r="AY55">
        <f t="shared" si="14"/>
        <v>1.8914094346444976E-4</v>
      </c>
      <c r="AZ55">
        <f t="shared" si="14"/>
        <v>2.6890954966596325E-4</v>
      </c>
      <c r="BA55">
        <f t="shared" si="14"/>
        <v>3.8668982229195237E-4</v>
      </c>
      <c r="BB55">
        <f t="shared" si="14"/>
        <v>5.5674849599496312E-4</v>
      </c>
      <c r="BC55">
        <f t="shared" si="14"/>
        <v>7.7873225662283829E-4</v>
      </c>
      <c r="BD55">
        <f t="shared" si="14"/>
        <v>-1.4712989035556845E-3</v>
      </c>
      <c r="BE55">
        <f t="shared" si="14"/>
        <v>5.1773917569519767E-4</v>
      </c>
      <c r="BF55">
        <f t="shared" si="14"/>
        <v>4.0284530673284635E-4</v>
      </c>
      <c r="BG55">
        <f t="shared" si="14"/>
        <v>3.0215199863370401E-4</v>
      </c>
      <c r="BH55">
        <f t="shared" si="14"/>
        <v>2.2274202915806285E-4</v>
      </c>
      <c r="BI55">
        <f t="shared" si="14"/>
        <v>1.6281746476565218E-4</v>
      </c>
      <c r="BJ55">
        <f t="shared" si="14"/>
        <v>1.165312860897938E-4</v>
      </c>
      <c r="BK55">
        <f t="shared" si="14"/>
        <v>7.7241761516910756E-5</v>
      </c>
      <c r="BL55">
        <f t="shared" si="14"/>
        <v>4.0726144820202315E-5</v>
      </c>
      <c r="BM55">
        <f t="shared" si="14"/>
        <v>9.9776026193376666E-6</v>
      </c>
    </row>
    <row r="56" spans="7:65" x14ac:dyDescent="0.4">
      <c r="G56">
        <f t="shared" ref="G56:Y56" si="15">ABS(G20-AA20)</f>
        <v>7.1526232366281306E-5</v>
      </c>
      <c r="H56">
        <f t="shared" si="15"/>
        <v>3.5349501104064984E-13</v>
      </c>
      <c r="I56">
        <f t="shared" si="15"/>
        <v>3.5576242284562909E-5</v>
      </c>
      <c r="J56">
        <f t="shared" si="15"/>
        <v>4.0304829616033544E-5</v>
      </c>
      <c r="K56">
        <f t="shared" si="15"/>
        <v>7.7218231808728888E-12</v>
      </c>
      <c r="L56">
        <f t="shared" si="15"/>
        <v>7.3478146227046182E-5</v>
      </c>
      <c r="M56">
        <f t="shared" si="15"/>
        <v>1.3494892301224581E-4</v>
      </c>
      <c r="N56">
        <f t="shared" si="15"/>
        <v>1.4311907148822911E-4</v>
      </c>
      <c r="O56">
        <f t="shared" si="15"/>
        <v>6.215340461146468E-5</v>
      </c>
      <c r="P56">
        <f t="shared" si="15"/>
        <v>0</v>
      </c>
      <c r="Q56">
        <f t="shared" si="15"/>
        <v>1.2294890906261458E-5</v>
      </c>
      <c r="R56">
        <f t="shared" si="15"/>
        <v>9.9776779940441429E-6</v>
      </c>
      <c r="S56">
        <f t="shared" si="15"/>
        <v>1.3740213667290391E-5</v>
      </c>
      <c r="T56">
        <f t="shared" si="15"/>
        <v>7.5587061090232055E-6</v>
      </c>
      <c r="U56">
        <f t="shared" si="15"/>
        <v>1.6060219820701604E-10</v>
      </c>
      <c r="V56">
        <f t="shared" si="15"/>
        <v>2.3963873125865121E-6</v>
      </c>
      <c r="W56">
        <f t="shared" si="15"/>
        <v>1.1981922050097182E-6</v>
      </c>
      <c r="X56">
        <f t="shared" si="15"/>
        <v>5.4619597733562841E-10</v>
      </c>
      <c r="Y56">
        <f t="shared" si="15"/>
        <v>8.7041485130612273E-13</v>
      </c>
    </row>
    <row r="57" spans="7:65" x14ac:dyDescent="0.4">
      <c r="AA57">
        <f t="shared" ref="AA57:AS57" si="16">ABS(G21-AA21)</f>
        <v>0.11312713794865203</v>
      </c>
      <c r="AB57">
        <f t="shared" si="16"/>
        <v>0.10810163225843894</v>
      </c>
      <c r="AC57">
        <f t="shared" si="16"/>
        <v>0.10509376300919371</v>
      </c>
      <c r="AD57">
        <f t="shared" si="16"/>
        <v>0.10300509008101244</v>
      </c>
      <c r="AE57">
        <f t="shared" si="16"/>
        <v>0.10154588855886004</v>
      </c>
      <c r="AF57">
        <f t="shared" si="16"/>
        <v>0.10054109746008066</v>
      </c>
      <c r="AG57">
        <f t="shared" si="16"/>
        <v>9.984364389390521E-2</v>
      </c>
      <c r="AH57">
        <f t="shared" si="16"/>
        <v>9.9396038004869069E-2</v>
      </c>
      <c r="AI57">
        <f t="shared" si="16"/>
        <v>9.922425223328446E-2</v>
      </c>
      <c r="AJ57">
        <f t="shared" si="16"/>
        <v>8.6558080530835468E-2</v>
      </c>
      <c r="AK57">
        <f t="shared" si="16"/>
        <v>7.6619603251231183E-2</v>
      </c>
      <c r="AL57">
        <f t="shared" si="16"/>
        <v>7.6368323444853559E-2</v>
      </c>
      <c r="AM57">
        <f t="shared" si="16"/>
        <v>7.5962347904209082E-2</v>
      </c>
      <c r="AN57">
        <f t="shared" si="16"/>
        <v>7.5364654699541234E-2</v>
      </c>
      <c r="AO57">
        <f t="shared" si="16"/>
        <v>7.452296773212197E-2</v>
      </c>
      <c r="AP57">
        <f t="shared" si="16"/>
        <v>7.3378236359474158E-2</v>
      </c>
      <c r="AQ57">
        <f t="shared" si="16"/>
        <v>7.1894699269790863E-2</v>
      </c>
      <c r="AR57">
        <f t="shared" si="16"/>
        <v>6.9972275095253167E-2</v>
      </c>
      <c r="AS57">
        <f t="shared" si="16"/>
        <v>6.7154904725768461E-2</v>
      </c>
    </row>
    <row r="58" spans="7:65" x14ac:dyDescent="0.4">
      <c r="AU58">
        <f t="shared" ref="AU58:BM58" si="17">G22-AA22</f>
        <v>3.0884616034732026E-5</v>
      </c>
      <c r="AV58">
        <f t="shared" si="17"/>
        <v>1.1190251742410062E-4</v>
      </c>
      <c r="AW58">
        <f t="shared" si="17"/>
        <v>2.2232342355610335E-4</v>
      </c>
      <c r="AX58">
        <f t="shared" si="17"/>
        <v>3.565403231104991E-4</v>
      </c>
      <c r="AY58">
        <f t="shared" si="17"/>
        <v>5.2141037794717349E-4</v>
      </c>
      <c r="AZ58">
        <f t="shared" si="17"/>
        <v>7.3652476679431089E-4</v>
      </c>
      <c r="BA58">
        <f t="shared" si="17"/>
        <v>1.0376169275598812E-3</v>
      </c>
      <c r="BB58">
        <f t="shared" si="17"/>
        <v>1.4681298462857484E-3</v>
      </c>
      <c r="BC58">
        <f t="shared" si="17"/>
        <v>2.065529412337952E-3</v>
      </c>
      <c r="BD58">
        <f t="shared" si="17"/>
        <v>-3.8000785046703456E-3</v>
      </c>
      <c r="BE58">
        <f t="shared" si="17"/>
        <v>1.372757534596758E-3</v>
      </c>
      <c r="BF58">
        <f t="shared" si="17"/>
        <v>1.0613069065703584E-3</v>
      </c>
      <c r="BG58">
        <f t="shared" si="17"/>
        <v>7.9605197336229949E-4</v>
      </c>
      <c r="BH58">
        <f t="shared" si="17"/>
        <v>5.8405768955172022E-4</v>
      </c>
      <c r="BI58">
        <f t="shared" si="17"/>
        <v>4.2034702852777883E-4</v>
      </c>
      <c r="BJ58">
        <f t="shared" si="17"/>
        <v>2.9360751126161766E-4</v>
      </c>
      <c r="BK58">
        <f t="shared" si="17"/>
        <v>1.9016206857780382E-4</v>
      </c>
      <c r="BL58">
        <f t="shared" si="17"/>
        <v>1.0176279753726369E-4</v>
      </c>
      <c r="BM58">
        <f t="shared" si="17"/>
        <v>3.1526818403571077E-5</v>
      </c>
    </row>
    <row r="59" spans="7:65" x14ac:dyDescent="0.4">
      <c r="G59">
        <f t="shared" ref="G59:Y59" si="18">ABS(G23-AA23)</f>
        <v>1.3834665313794403E-4</v>
      </c>
      <c r="H59">
        <f t="shared" si="18"/>
        <v>4.4586556668946287E-13</v>
      </c>
      <c r="I59">
        <f t="shared" si="18"/>
        <v>7.6843210646160287E-5</v>
      </c>
      <c r="J59">
        <f t="shared" si="18"/>
        <v>9.1324220441890702E-5</v>
      </c>
      <c r="K59">
        <f t="shared" si="18"/>
        <v>1.1905143537660479E-11</v>
      </c>
      <c r="L59">
        <f t="shared" si="18"/>
        <v>1.8057754199851672E-4</v>
      </c>
      <c r="M59">
        <f t="shared" si="18"/>
        <v>3.5362455781218216E-4</v>
      </c>
      <c r="N59">
        <f t="shared" si="18"/>
        <v>4.2939489050120017E-4</v>
      </c>
      <c r="O59">
        <f t="shared" si="18"/>
        <v>3.2959510605756748E-4</v>
      </c>
      <c r="P59">
        <f t="shared" si="18"/>
        <v>0</v>
      </c>
      <c r="Q59">
        <f t="shared" si="18"/>
        <v>1.2795245620011997E-4</v>
      </c>
      <c r="R59">
        <f t="shared" si="18"/>
        <v>9.6429027731659289E-5</v>
      </c>
      <c r="S59">
        <f t="shared" si="18"/>
        <v>5.8757469780346128E-5</v>
      </c>
      <c r="T59">
        <f t="shared" si="18"/>
        <v>2.3695463111650383E-5</v>
      </c>
      <c r="U59">
        <f t="shared" si="18"/>
        <v>6.8599348423958872E-11</v>
      </c>
      <c r="V59">
        <f t="shared" si="18"/>
        <v>6.7080059089619226E-6</v>
      </c>
      <c r="W59">
        <f t="shared" si="18"/>
        <v>3.3540023540723496E-6</v>
      </c>
      <c r="X59">
        <f t="shared" si="18"/>
        <v>3.1870150962731714E-10</v>
      </c>
      <c r="Y59">
        <f t="shared" si="18"/>
        <v>3.9968028886505635E-13</v>
      </c>
    </row>
    <row r="60" spans="7:65" x14ac:dyDescent="0.4">
      <c r="AA60">
        <f t="shared" ref="AA60:AS60" si="19">ABS(G24-AA24)</f>
        <v>0.20540098792508843</v>
      </c>
      <c r="AB60">
        <f t="shared" si="19"/>
        <v>0.19418474770640159</v>
      </c>
      <c r="AC60">
        <f t="shared" si="19"/>
        <v>0.18754636194120167</v>
      </c>
      <c r="AD60">
        <f t="shared" si="19"/>
        <v>0.18295995220682926</v>
      </c>
      <c r="AE60">
        <f t="shared" si="19"/>
        <v>0.17973467035608337</v>
      </c>
      <c r="AF60">
        <f t="shared" si="19"/>
        <v>0.17744034889372529</v>
      </c>
      <c r="AG60">
        <f t="shared" si="19"/>
        <v>0.17573524980187472</v>
      </c>
      <c r="AH60">
        <f t="shared" si="19"/>
        <v>0.17449098284055253</v>
      </c>
      <c r="AI60">
        <f t="shared" si="19"/>
        <v>0.17376599342179588</v>
      </c>
      <c r="AJ60">
        <f>ABS(P24-AJ24)</f>
        <v>0.15182266055049354</v>
      </c>
      <c r="AK60">
        <f t="shared" si="19"/>
        <v>0.13523335156753546</v>
      </c>
      <c r="AL60">
        <f t="shared" si="19"/>
        <v>0.13455027378574869</v>
      </c>
      <c r="AM60">
        <f t="shared" si="19"/>
        <v>0.13358988114524095</v>
      </c>
      <c r="AN60">
        <f t="shared" si="19"/>
        <v>0.13228654942628282</v>
      </c>
      <c r="AO60">
        <f t="shared" si="19"/>
        <v>0.13054383817467397</v>
      </c>
      <c r="AP60">
        <f t="shared" si="19"/>
        <v>0.12824700818600832</v>
      </c>
      <c r="AQ60">
        <f t="shared" si="19"/>
        <v>0.12531377798303822</v>
      </c>
      <c r="AR60">
        <f t="shared" si="19"/>
        <v>0.12153317817107734</v>
      </c>
      <c r="AS60">
        <f t="shared" si="19"/>
        <v>0.11600980387184734</v>
      </c>
    </row>
    <row r="61" spans="7:65" x14ac:dyDescent="0.4">
      <c r="AU61">
        <f t="shared" ref="AU61:BM61" si="20">G25-AA25</f>
        <v>5.8257911516812477E-5</v>
      </c>
      <c r="AV61">
        <f t="shared" si="20"/>
        <v>1.9886934931145905E-4</v>
      </c>
      <c r="AW61">
        <f t="shared" si="20"/>
        <v>3.9495804244427113E-4</v>
      </c>
      <c r="AX61">
        <f t="shared" si="20"/>
        <v>6.390294077092129E-4</v>
      </c>
      <c r="AY61">
        <f t="shared" si="20"/>
        <v>9.3397965033537034E-4</v>
      </c>
      <c r="AZ61">
        <f t="shared" si="20"/>
        <v>1.3024871417366413E-3</v>
      </c>
      <c r="BA61">
        <f t="shared" si="20"/>
        <v>1.8064209969388401E-3</v>
      </c>
      <c r="BB61">
        <f t="shared" si="20"/>
        <v>2.5361070470770741E-3</v>
      </c>
      <c r="BC61">
        <f t="shared" si="20"/>
        <v>3.6105501058925071E-3</v>
      </c>
      <c r="BD61">
        <f t="shared" si="20"/>
        <v>-6.4599956259945301E-3</v>
      </c>
      <c r="BE61">
        <f t="shared" si="20"/>
        <v>2.382862737414726E-3</v>
      </c>
      <c r="BF61">
        <f t="shared" si="20"/>
        <v>1.8246992992319022E-3</v>
      </c>
      <c r="BG61">
        <f t="shared" si="20"/>
        <v>1.3621699285741862E-3</v>
      </c>
      <c r="BH61">
        <f t="shared" si="20"/>
        <v>9.955923904905184E-4</v>
      </c>
      <c r="BI61">
        <f t="shared" si="20"/>
        <v>7.1244711160334262E-4</v>
      </c>
      <c r="BJ61">
        <f t="shared" si="20"/>
        <v>4.9336937213584342E-4</v>
      </c>
      <c r="BK61">
        <f t="shared" si="20"/>
        <v>3.1676662249191523E-4</v>
      </c>
      <c r="BL61">
        <f t="shared" si="20"/>
        <v>1.6996634979504766E-4</v>
      </c>
      <c r="BM61">
        <f t="shared" si="20"/>
        <v>5.5854062359084189E-5</v>
      </c>
    </row>
    <row r="62" spans="7:65" x14ac:dyDescent="0.4">
      <c r="G62">
        <f t="shared" ref="G62:Y62" si="21">ABS(G26-AA26)</f>
        <v>2.2710306240014688E-6</v>
      </c>
      <c r="H62">
        <f t="shared" si="21"/>
        <v>1.6875389974302379E-12</v>
      </c>
      <c r="I62">
        <f t="shared" si="21"/>
        <v>1.7889572312412838E-7</v>
      </c>
      <c r="J62">
        <f t="shared" si="21"/>
        <v>1.454303522052669E-8</v>
      </c>
      <c r="K62">
        <f t="shared" si="21"/>
        <v>3.4411584692861652E-11</v>
      </c>
      <c r="L62">
        <f t="shared" si="21"/>
        <v>1.2700970586365656E-7</v>
      </c>
      <c r="M62">
        <f t="shared" si="21"/>
        <v>1.819801678237809E-7</v>
      </c>
      <c r="N62">
        <f t="shared" si="21"/>
        <v>1.1053557358309263E-7</v>
      </c>
      <c r="O62">
        <f t="shared" si="21"/>
        <v>2.6712065448464273E-8</v>
      </c>
      <c r="P62">
        <f t="shared" si="21"/>
        <v>0</v>
      </c>
      <c r="Q62">
        <f t="shared" si="21"/>
        <v>8.9863815944113412E-8</v>
      </c>
      <c r="R62">
        <f t="shared" si="21"/>
        <v>7.8298596051240565E-8</v>
      </c>
      <c r="S62">
        <f t="shared" si="21"/>
        <v>5.0090978476191594E-8</v>
      </c>
      <c r="T62">
        <f t="shared" si="21"/>
        <v>2.2066450000579607E-8</v>
      </c>
      <c r="U62">
        <f t="shared" si="21"/>
        <v>1.0530065708280745E-10</v>
      </c>
      <c r="V62">
        <f t="shared" si="21"/>
        <v>6.5877543420356233E-9</v>
      </c>
      <c r="W62">
        <f t="shared" si="21"/>
        <v>3.3125768794661781E-9</v>
      </c>
      <c r="X62">
        <f t="shared" si="21"/>
        <v>3.0370017611858202E-10</v>
      </c>
      <c r="Y62">
        <f t="shared" si="21"/>
        <v>2.3270274596143281E-13</v>
      </c>
    </row>
    <row r="63" spans="7:65" x14ac:dyDescent="0.4">
      <c r="AA63">
        <f t="shared" ref="AA63:AS63" si="22">ABS(G27-AA27)</f>
        <v>0.39400631286278553</v>
      </c>
      <c r="AB63">
        <f t="shared" si="22"/>
        <v>0.35970934411525946</v>
      </c>
      <c r="AC63">
        <f t="shared" si="22"/>
        <v>0.33952880251277406</v>
      </c>
      <c r="AD63">
        <f t="shared" si="22"/>
        <v>0.32523684220873861</v>
      </c>
      <c r="AE63">
        <f t="shared" si="22"/>
        <v>0.314332345509996</v>
      </c>
      <c r="AF63">
        <f t="shared" si="22"/>
        <v>0.30547292970413764</v>
      </c>
      <c r="AG63">
        <f t="shared" si="22"/>
        <v>0.29778632396454441</v>
      </c>
      <c r="AH63">
        <f t="shared" si="22"/>
        <v>0.29074363365154454</v>
      </c>
      <c r="AI63">
        <f t="shared" si="22"/>
        <v>0.28400329427512361</v>
      </c>
      <c r="AJ63">
        <f>ABS(P27-AJ27)</f>
        <v>0.28144337234493833</v>
      </c>
      <c r="AK63">
        <f t="shared" si="22"/>
        <v>0.27408768272974271</v>
      </c>
      <c r="AL63">
        <f t="shared" si="22"/>
        <v>0.2693675643001967</v>
      </c>
      <c r="AM63">
        <f t="shared" si="22"/>
        <v>0.26436656153668991</v>
      </c>
      <c r="AN63">
        <f t="shared" si="22"/>
        <v>0.25888835977966096</v>
      </c>
      <c r="AO63">
        <f t="shared" si="22"/>
        <v>0.25265221813282324</v>
      </c>
      <c r="AP63">
        <f t="shared" si="22"/>
        <v>0.24528957314930722</v>
      </c>
      <c r="AQ63">
        <f t="shared" si="22"/>
        <v>0.23641110492586392</v>
      </c>
      <c r="AR63">
        <f t="shared" si="22"/>
        <v>0.22531424726578564</v>
      </c>
      <c r="AS63">
        <f t="shared" si="22"/>
        <v>0.20963725010150824</v>
      </c>
    </row>
    <row r="64" spans="7:65" x14ac:dyDescent="0.4">
      <c r="AU64">
        <f t="shared" ref="AU64:BM64" si="23">G28-AA28</f>
        <v>-9.8571250834256219E-4</v>
      </c>
      <c r="AV64">
        <f t="shared" si="23"/>
        <v>-2.086968998593175E-3</v>
      </c>
      <c r="AW64">
        <f t="shared" si="23"/>
        <v>-3.2664612724022657E-3</v>
      </c>
      <c r="AX64">
        <f t="shared" si="23"/>
        <v>-4.5303775572773652E-3</v>
      </c>
      <c r="AY64">
        <f t="shared" si="23"/>
        <v>-5.9089760017592141E-3</v>
      </c>
      <c r="AZ64">
        <f t="shared" si="23"/>
        <v>-7.4388607045570154E-3</v>
      </c>
      <c r="BA64">
        <f t="shared" si="23"/>
        <v>-9.1448255972412795E-3</v>
      </c>
      <c r="BB64">
        <f t="shared" si="23"/>
        <v>-1.1068222728711774E-2</v>
      </c>
      <c r="BC64">
        <f t="shared" si="23"/>
        <v>-1.3307965552746381E-2</v>
      </c>
      <c r="BD64">
        <f t="shared" si="23"/>
        <v>-1.425238198787504E-2</v>
      </c>
      <c r="BE64">
        <f t="shared" si="23"/>
        <v>-1.117209976459943E-2</v>
      </c>
      <c r="BF64">
        <f t="shared" si="23"/>
        <v>-9.5047053268659809E-3</v>
      </c>
      <c r="BG64">
        <f t="shared" si="23"/>
        <v>-7.9922553553508635E-3</v>
      </c>
      <c r="BH64">
        <f t="shared" si="23"/>
        <v>-6.6086426050886438E-3</v>
      </c>
      <c r="BI64">
        <f t="shared" si="23"/>
        <v>-5.3325156332579837E-3</v>
      </c>
      <c r="BJ64">
        <f t="shared" si="23"/>
        <v>-4.1398013473297191E-3</v>
      </c>
      <c r="BK64">
        <f t="shared" si="23"/>
        <v>-2.9999698120268814E-3</v>
      </c>
      <c r="BL64">
        <f t="shared" si="23"/>
        <v>-1.9067115792323897E-3</v>
      </c>
      <c r="BM64">
        <f t="shared" si="23"/>
        <v>-8.8283523989002299E-4</v>
      </c>
    </row>
    <row r="65" spans="7:65" x14ac:dyDescent="0.4">
      <c r="G65">
        <f t="shared" ref="G65:Y65" si="24">ABS(G29-AA29)</f>
        <v>3.9748336906342274E-6</v>
      </c>
      <c r="H65">
        <f t="shared" si="24"/>
        <v>2.6254554086335702E-12</v>
      </c>
      <c r="I65">
        <f t="shared" si="24"/>
        <v>4.7204527575672728E-7</v>
      </c>
      <c r="J65">
        <f t="shared" si="24"/>
        <v>1.4221521915658286E-7</v>
      </c>
      <c r="K65">
        <f t="shared" si="24"/>
        <v>7.014122616055829E-11</v>
      </c>
      <c r="L65">
        <f t="shared" si="24"/>
        <v>6.0007620206192769E-8</v>
      </c>
      <c r="M65">
        <f t="shared" si="24"/>
        <v>1.3339596449668534E-7</v>
      </c>
      <c r="N65">
        <f t="shared" si="24"/>
        <v>9.6755243816915026E-8</v>
      </c>
      <c r="O65">
        <f t="shared" si="24"/>
        <v>1.7696002707623393E-7</v>
      </c>
      <c r="P65">
        <f t="shared" si="24"/>
        <v>0</v>
      </c>
      <c r="Q65">
        <f t="shared" si="24"/>
        <v>1.5495212402072411E-7</v>
      </c>
      <c r="R65">
        <f t="shared" si="24"/>
        <v>1.235532458565558E-7</v>
      </c>
      <c r="S65">
        <f t="shared" si="24"/>
        <v>7.8023036920171762E-8</v>
      </c>
      <c r="T65">
        <f t="shared" si="24"/>
        <v>2.3916154390235533E-8</v>
      </c>
      <c r="U65">
        <f t="shared" si="24"/>
        <v>1.0829914742771507E-10</v>
      </c>
      <c r="V65">
        <f t="shared" si="24"/>
        <v>3.9737924950600245E-8</v>
      </c>
      <c r="W65">
        <f t="shared" si="24"/>
        <v>2.2961762269346764E-8</v>
      </c>
      <c r="X65">
        <f t="shared" si="24"/>
        <v>2.8519941963622841E-10</v>
      </c>
      <c r="Y65">
        <f t="shared" si="24"/>
        <v>1.2636824919809442E-10</v>
      </c>
    </row>
    <row r="66" spans="7:65" x14ac:dyDescent="0.4">
      <c r="AA66">
        <f t="shared" ref="AA66:AS66" si="25">ABS(G30-AA30)</f>
        <v>7.2075433147716694E-2</v>
      </c>
      <c r="AB66">
        <f t="shared" si="25"/>
        <v>6.2307745238570078E-2</v>
      </c>
      <c r="AC66">
        <f t="shared" si="25"/>
        <v>5.6978839721921304E-2</v>
      </c>
      <c r="AD66">
        <f t="shared" si="25"/>
        <v>5.3355372061304251E-2</v>
      </c>
      <c r="AE66">
        <f t="shared" si="25"/>
        <v>5.0656593761175372E-2</v>
      </c>
      <c r="AF66">
        <f t="shared" si="25"/>
        <v>4.8488755468383715E-2</v>
      </c>
      <c r="AG66">
        <f t="shared" si="25"/>
        <v>4.6615099436465357E-2</v>
      </c>
      <c r="AH66">
        <f t="shared" si="25"/>
        <v>4.4902058713319093E-2</v>
      </c>
      <c r="AI66">
        <f t="shared" si="25"/>
        <v>4.3274463286820719E-2</v>
      </c>
      <c r="AJ66">
        <f t="shared" si="25"/>
        <v>4.3085481229766742E-2</v>
      </c>
      <c r="AK66">
        <f t="shared" si="25"/>
        <v>4.1384353458539636E-2</v>
      </c>
      <c r="AL66">
        <f t="shared" si="25"/>
        <v>4.0446911128768193E-2</v>
      </c>
      <c r="AM66">
        <f t="shared" si="25"/>
        <v>3.9444304964490584E-2</v>
      </c>
      <c r="AN66">
        <f t="shared" si="25"/>
        <v>3.8319801739405079E-2</v>
      </c>
      <c r="AO66">
        <f t="shared" si="25"/>
        <v>3.6989216011718895E-2</v>
      </c>
      <c r="AP66">
        <f t="shared" si="25"/>
        <v>3.5351823707898689E-2</v>
      </c>
      <c r="AQ66">
        <f t="shared" si="25"/>
        <v>3.3339465138027435E-2</v>
      </c>
      <c r="AR66">
        <f t="shared" si="25"/>
        <v>3.0848850369679326E-2</v>
      </c>
      <c r="AS66">
        <f t="shared" si="25"/>
        <v>2.7451947327733706E-2</v>
      </c>
    </row>
    <row r="67" spans="7:65" x14ac:dyDescent="0.4">
      <c r="AU67">
        <f t="shared" ref="AU67:BM67" si="26">G31-AA31</f>
        <v>3.7807074217299785E-5</v>
      </c>
      <c r="AV67">
        <f t="shared" si="26"/>
        <v>1.1046934431213629E-4</v>
      </c>
      <c r="AW67">
        <f t="shared" si="26"/>
        <v>1.8727983712274465E-4</v>
      </c>
      <c r="AX67">
        <f t="shared" si="26"/>
        <v>2.5017886485390051E-4</v>
      </c>
      <c r="AY67">
        <f t="shared" si="26"/>
        <v>3.082006024852646E-4</v>
      </c>
      <c r="AZ67">
        <f t="shared" si="26"/>
        <v>3.8173984860989663E-4</v>
      </c>
      <c r="BA67">
        <f t="shared" si="26"/>
        <v>4.8782550647707978E-4</v>
      </c>
      <c r="BB67">
        <f t="shared" si="26"/>
        <v>6.1181078066319117E-4</v>
      </c>
      <c r="BC67">
        <f t="shared" si="26"/>
        <v>6.9472921179958291E-4</v>
      </c>
      <c r="BD67">
        <f t="shared" si="26"/>
        <v>7.1026744307012279E-4</v>
      </c>
      <c r="BE67">
        <f t="shared" si="26"/>
        <v>5.5657537142383973E-4</v>
      </c>
      <c r="BF67">
        <f t="shared" si="26"/>
        <v>4.6435713082360053E-4</v>
      </c>
      <c r="BG67">
        <f t="shared" si="26"/>
        <v>3.7944526773259213E-4</v>
      </c>
      <c r="BH67">
        <f t="shared" si="26"/>
        <v>3.1138024435950484E-4</v>
      </c>
      <c r="BI67">
        <f t="shared" si="26"/>
        <v>2.589510148531815E-4</v>
      </c>
      <c r="BJ67">
        <f t="shared" si="26"/>
        <v>2.1431567422647291E-4</v>
      </c>
      <c r="BK67">
        <f t="shared" si="26"/>
        <v>1.6620641156928073E-4</v>
      </c>
      <c r="BL67">
        <f t="shared" si="26"/>
        <v>1.0680298485166162E-4</v>
      </c>
      <c r="BM67">
        <f t="shared" si="26"/>
        <v>4.1034829898811687E-5</v>
      </c>
    </row>
    <row r="68" spans="7:65" x14ac:dyDescent="0.4">
      <c r="G68">
        <f t="shared" ref="G68:N68" si="27">ABS(G32-AA32)</f>
        <v>3.9121698325317311E-6</v>
      </c>
      <c r="H68">
        <f t="shared" si="27"/>
        <v>4.6220804961194517E-12</v>
      </c>
      <c r="I68">
        <f t="shared" si="27"/>
        <v>5.101093094594944E-7</v>
      </c>
      <c r="J68">
        <f t="shared" si="27"/>
        <v>1.1678260669611973E-7</v>
      </c>
      <c r="K68">
        <f t="shared" si="27"/>
        <v>4.8316906031686813E-13</v>
      </c>
      <c r="L68">
        <f t="shared" si="27"/>
        <v>7.2585910615430294E-8</v>
      </c>
      <c r="M68">
        <f t="shared" si="27"/>
        <v>8.3459323008128194E-8</v>
      </c>
      <c r="N68">
        <f t="shared" si="27"/>
        <v>6.9666164392856444E-8</v>
      </c>
      <c r="P68">
        <f t="shared" ref="P68:Y68" si="28">ABS(P32-AJ32)</f>
        <v>0</v>
      </c>
      <c r="Q68">
        <f t="shared" si="28"/>
        <v>1.1106273589689408E-7</v>
      </c>
      <c r="R68">
        <f t="shared" si="28"/>
        <v>8.677682394875319E-8</v>
      </c>
      <c r="S68">
        <f t="shared" si="28"/>
        <v>3.9154668840524209E-8</v>
      </c>
      <c r="T68">
        <f t="shared" si="28"/>
        <v>2.3620017941539118E-8</v>
      </c>
      <c r="U68">
        <f t="shared" si="28"/>
        <v>4.3803210125759051E-7</v>
      </c>
      <c r="V68">
        <f t="shared" si="28"/>
        <v>6.8084329285511558E-9</v>
      </c>
      <c r="W68">
        <f t="shared" si="28"/>
        <v>3.4020644079646445E-9</v>
      </c>
      <c r="X68">
        <f t="shared" si="28"/>
        <v>3.5410430143656413E-10</v>
      </c>
      <c r="Y68">
        <f t="shared" si="28"/>
        <v>2.2370016949935234E-9</v>
      </c>
    </row>
    <row r="69" spans="7:65" x14ac:dyDescent="0.4">
      <c r="AA69">
        <f t="shared" ref="AA69:AH69" si="29">ABS(G33-AA33)</f>
        <v>4.4433930780712672E-2</v>
      </c>
      <c r="AB69">
        <f t="shared" si="29"/>
        <v>3.7643608824623698E-2</v>
      </c>
      <c r="AC69">
        <f t="shared" si="29"/>
        <v>3.4048315435626364E-2</v>
      </c>
      <c r="AD69">
        <f t="shared" si="29"/>
        <v>3.1680082639951479E-2</v>
      </c>
      <c r="AE69">
        <f t="shared" si="29"/>
        <v>2.9948758364668038E-2</v>
      </c>
      <c r="AF69">
        <f t="shared" si="29"/>
        <v>2.8543425513177567E-2</v>
      </c>
      <c r="AG69">
        <f t="shared" si="29"/>
        <v>2.7283932260175447E-2</v>
      </c>
      <c r="AH69">
        <f t="shared" si="29"/>
        <v>2.6096496650140466E-2</v>
      </c>
      <c r="AJ69">
        <f t="shared" ref="AJ69:AS69" si="30">ABS(P33-AJ33)</f>
        <v>2.4987221812594385E-2</v>
      </c>
      <c r="AK69">
        <f t="shared" si="30"/>
        <v>2.3782884376373659E-2</v>
      </c>
      <c r="AL69">
        <f t="shared" si="30"/>
        <v>2.3166254085140281E-2</v>
      </c>
      <c r="AM69">
        <f t="shared" si="30"/>
        <v>2.2488503808546056E-2</v>
      </c>
      <c r="AN69">
        <f t="shared" si="30"/>
        <v>2.1694654209980513E-2</v>
      </c>
      <c r="AO69">
        <f t="shared" si="30"/>
        <v>2.0717313278680649E-2</v>
      </c>
      <c r="AP69">
        <f t="shared" si="30"/>
        <v>1.9482836566027117E-2</v>
      </c>
      <c r="AQ69">
        <f t="shared" si="30"/>
        <v>1.7967251576237686E-2</v>
      </c>
      <c r="AR69">
        <f t="shared" si="30"/>
        <v>1.6132523691425149E-2</v>
      </c>
      <c r="AS69">
        <f t="shared" si="30"/>
        <v>1.3713206967629787E-2</v>
      </c>
    </row>
    <row r="70" spans="7:65" x14ac:dyDescent="0.4">
      <c r="AU70">
        <f t="shared" ref="AU70:BB70" si="31">G34-AA34</f>
        <v>1.6884397410895646E-3</v>
      </c>
      <c r="AV70">
        <f t="shared" si="31"/>
        <v>3.6029800639474363E-3</v>
      </c>
      <c r="AW70">
        <f t="shared" si="31"/>
        <v>5.6493005851034894E-3</v>
      </c>
      <c r="AX70">
        <f t="shared" si="31"/>
        <v>7.8419718747353429E-3</v>
      </c>
      <c r="AY70">
        <f t="shared" si="31"/>
        <v>1.0316763345353586E-2</v>
      </c>
      <c r="AZ70">
        <f t="shared" si="31"/>
        <v>1.3221058066068991E-2</v>
      </c>
      <c r="BA70">
        <f t="shared" si="31"/>
        <v>1.661274648819866E-2</v>
      </c>
      <c r="BB70">
        <f t="shared" si="31"/>
        <v>2.0462216251230458E-2</v>
      </c>
      <c r="BD70">
        <f t="shared" ref="BD70:BM70" si="32">P34-AJ34</f>
        <v>2.4553652643637847E-2</v>
      </c>
      <c r="BE70">
        <f t="shared" si="32"/>
        <v>1.8208057595970217E-2</v>
      </c>
      <c r="BF70">
        <f t="shared" si="32"/>
        <v>1.5524653333209848E-2</v>
      </c>
      <c r="BG70">
        <f t="shared" si="32"/>
        <v>1.3180734453589693E-2</v>
      </c>
      <c r="BH70">
        <f t="shared" si="32"/>
        <v>1.1149180792445534E-2</v>
      </c>
      <c r="BI70">
        <f t="shared" si="32"/>
        <v>9.3533061847157484E-3</v>
      </c>
      <c r="BJ70">
        <f t="shared" si="32"/>
        <v>7.6589335849170936E-3</v>
      </c>
      <c r="BK70">
        <f t="shared" si="32"/>
        <v>5.8738906136661662E-3</v>
      </c>
      <c r="BL70">
        <f t="shared" si="32"/>
        <v>3.9179003047047356E-3</v>
      </c>
      <c r="BM70">
        <f t="shared" si="32"/>
        <v>1.8712639827512811E-3</v>
      </c>
    </row>
    <row r="71" spans="7:65" x14ac:dyDescent="0.4">
      <c r="G71">
        <f t="shared" ref="G71:N71" si="33">ABS(G35-AA35)</f>
        <v>2.7604633139333146E-6</v>
      </c>
      <c r="H71">
        <f t="shared" si="33"/>
        <v>3.6415315207705135E-13</v>
      </c>
      <c r="I71">
        <f t="shared" si="33"/>
        <v>4.3303485242063289E-7</v>
      </c>
      <c r="J71">
        <f t="shared" si="33"/>
        <v>9.723475358214273E-9</v>
      </c>
      <c r="K71">
        <f t="shared" si="33"/>
        <v>1.4927792335583945E-10</v>
      </c>
      <c r="L71">
        <f t="shared" si="33"/>
        <v>1.216098830525425E-7</v>
      </c>
      <c r="M71">
        <f t="shared" si="33"/>
        <v>2.8300629395516808E-8</v>
      </c>
      <c r="N71">
        <f t="shared" si="33"/>
        <v>7.7711343138275879E-8</v>
      </c>
      <c r="P71">
        <f t="shared" ref="P71:Y71" si="34">ABS(P35-AJ35)</f>
        <v>0</v>
      </c>
      <c r="Q71">
        <f t="shared" si="34"/>
        <v>2.4005844423413691E-8</v>
      </c>
      <c r="R71">
        <f t="shared" si="34"/>
        <v>2.4543318488667865E-9</v>
      </c>
      <c r="S71">
        <f t="shared" si="34"/>
        <v>1.3160619261043394E-8</v>
      </c>
      <c r="T71">
        <f t="shared" si="34"/>
        <v>1.4868727937766835E-7</v>
      </c>
      <c r="U71">
        <f t="shared" si="34"/>
        <v>4.9899639975592436E-11</v>
      </c>
      <c r="V71">
        <f t="shared" si="34"/>
        <v>2.2787247644373565E-9</v>
      </c>
      <c r="W71">
        <f t="shared" si="34"/>
        <v>8.0691187065440317E-10</v>
      </c>
      <c r="X71">
        <f t="shared" si="34"/>
        <v>3.6854702401001305E-8</v>
      </c>
      <c r="Y71">
        <f t="shared" si="34"/>
        <v>4.7365311672820098E-9</v>
      </c>
    </row>
    <row r="72" spans="7:65" x14ac:dyDescent="0.4">
      <c r="AA72">
        <f t="shared" ref="AA72:AH72" si="35">ABS(G36-AA36)</f>
        <v>0.13164276654558194</v>
      </c>
      <c r="AB72">
        <f t="shared" si="35"/>
        <v>0.11179328513281916</v>
      </c>
      <c r="AC72">
        <f t="shared" si="35"/>
        <v>0.10055662626444928</v>
      </c>
      <c r="AD72">
        <f t="shared" si="35"/>
        <v>9.3106917434809588E-2</v>
      </c>
      <c r="AE72">
        <f t="shared" si="35"/>
        <v>8.7784012653202126E-2</v>
      </c>
      <c r="AF72">
        <f t="shared" si="35"/>
        <v>8.3464161069443321E-2</v>
      </c>
      <c r="AG72">
        <f t="shared" si="35"/>
        <v>7.9409649508932034E-2</v>
      </c>
      <c r="AH72">
        <f t="shared" si="35"/>
        <v>7.527241977624044E-2</v>
      </c>
      <c r="AJ72">
        <f t="shared" ref="AJ72:AR72" si="36">ABS(P36-AJ36)</f>
        <v>7.1983098018151281E-2</v>
      </c>
      <c r="AK72">
        <f t="shared" si="36"/>
        <v>6.7564113113590452E-2</v>
      </c>
      <c r="AL72">
        <f t="shared" si="36"/>
        <v>6.5421190172685328E-2</v>
      </c>
      <c r="AM72">
        <f t="shared" si="36"/>
        <v>6.3005044997211712E-2</v>
      </c>
      <c r="AN72">
        <f t="shared" si="36"/>
        <v>6.0125975036413593E-2</v>
      </c>
      <c r="AO72">
        <f t="shared" si="36"/>
        <v>5.6538304217895075E-2</v>
      </c>
      <c r="AP72">
        <f t="shared" si="36"/>
        <v>5.2007961090041022E-2</v>
      </c>
      <c r="AQ72">
        <f t="shared" si="36"/>
        <v>4.6520935270912389E-2</v>
      </c>
      <c r="AR72">
        <f t="shared" si="36"/>
        <v>4.0060262483372355E-2</v>
      </c>
      <c r="AS72">
        <f>ABS(Y36-AS36)</f>
        <v>3.1941974423702391E-2</v>
      </c>
    </row>
    <row r="73" spans="7:65" x14ac:dyDescent="0.4">
      <c r="AU73">
        <f t="shared" ref="AU73:BB73" si="37">G37-AA37</f>
        <v>3.2553498687573068E-3</v>
      </c>
      <c r="AV73">
        <f t="shared" si="37"/>
        <v>7.0417508984610411E-3</v>
      </c>
      <c r="AW73">
        <f t="shared" si="37"/>
        <v>1.1090078622421728E-2</v>
      </c>
      <c r="AX73">
        <f t="shared" si="37"/>
        <v>1.5529922570604704E-2</v>
      </c>
      <c r="AY73">
        <f t="shared" si="37"/>
        <v>2.0826233497827751E-2</v>
      </c>
      <c r="AZ73">
        <f t="shared" si="37"/>
        <v>2.7454751284845536E-2</v>
      </c>
      <c r="BA73">
        <f t="shared" si="37"/>
        <v>3.5643375319436288E-2</v>
      </c>
      <c r="BB73">
        <f t="shared" si="37"/>
        <v>4.5376329360287571E-2</v>
      </c>
      <c r="BD73">
        <f t="shared" ref="BD73:BM73" si="38">P37-AJ37</f>
        <v>5.3695159291729411E-2</v>
      </c>
      <c r="BE73">
        <f t="shared" si="38"/>
        <v>3.9493584075771082E-2</v>
      </c>
      <c r="BF73">
        <f t="shared" si="38"/>
        <v>3.4087596978010559E-2</v>
      </c>
      <c r="BG73">
        <f t="shared" si="38"/>
        <v>2.9386223306774539E-2</v>
      </c>
      <c r="BH73">
        <f t="shared" si="38"/>
        <v>2.5307060832357564E-2</v>
      </c>
      <c r="BI73">
        <f t="shared" si="38"/>
        <v>2.1654857153956542E-2</v>
      </c>
      <c r="BJ73">
        <f t="shared" si="38"/>
        <v>1.8091295583078093E-2</v>
      </c>
      <c r="BK73">
        <f t="shared" si="38"/>
        <v>1.4135491240625964E-2</v>
      </c>
      <c r="BL73">
        <f t="shared" si="38"/>
        <v>9.5949379927828815E-3</v>
      </c>
      <c r="BM73">
        <f t="shared" si="38"/>
        <v>4.6740000001677107E-3</v>
      </c>
    </row>
    <row r="118" spans="15:15" x14ac:dyDescent="0.4">
      <c r="O118" t="e">
        <f ca="1">(5*Outcome!G36EXP(-$C$77/100*$D$76)-K76)/100*$C$39*EXP($B$77/100*$D$76)</f>
        <v>#NAME?</v>
      </c>
    </row>
  </sheetData>
  <mergeCells count="60">
    <mergeCell ref="B2:C3"/>
    <mergeCell ref="G2:G3"/>
    <mergeCell ref="H2:H3"/>
    <mergeCell ref="I2:I3"/>
    <mergeCell ref="X2:Y3"/>
    <mergeCell ref="C26:C28"/>
    <mergeCell ref="D26:D28"/>
    <mergeCell ref="E26:E28"/>
    <mergeCell ref="F26:F28"/>
    <mergeCell ref="E35:E37"/>
    <mergeCell ref="F35:F37"/>
    <mergeCell ref="C29:C31"/>
    <mergeCell ref="D29:D31"/>
    <mergeCell ref="E29:E31"/>
    <mergeCell ref="F29:F31"/>
    <mergeCell ref="C32:C34"/>
    <mergeCell ref="D32:D34"/>
    <mergeCell ref="E32:E34"/>
    <mergeCell ref="F32:F34"/>
    <mergeCell ref="D23:D25"/>
    <mergeCell ref="E23:E25"/>
    <mergeCell ref="F23:F25"/>
    <mergeCell ref="E20:E22"/>
    <mergeCell ref="F20:F22"/>
    <mergeCell ref="F5:F7"/>
    <mergeCell ref="C8:C10"/>
    <mergeCell ref="D8:D10"/>
    <mergeCell ref="E8:E10"/>
    <mergeCell ref="F8:F10"/>
    <mergeCell ref="F14:F16"/>
    <mergeCell ref="C17:C19"/>
    <mergeCell ref="D17:D19"/>
    <mergeCell ref="B20:B22"/>
    <mergeCell ref="C11:C13"/>
    <mergeCell ref="D11:D13"/>
    <mergeCell ref="E11:E13"/>
    <mergeCell ref="F11:F13"/>
    <mergeCell ref="E17:E19"/>
    <mergeCell ref="F17:F19"/>
    <mergeCell ref="C20:C22"/>
    <mergeCell ref="D20:D22"/>
    <mergeCell ref="B17:B19"/>
    <mergeCell ref="B11:B13"/>
    <mergeCell ref="B14:B16"/>
    <mergeCell ref="B5:B7"/>
    <mergeCell ref="B8:B10"/>
    <mergeCell ref="E14:E16"/>
    <mergeCell ref="E5:E7"/>
    <mergeCell ref="B35:B37"/>
    <mergeCell ref="C35:C37"/>
    <mergeCell ref="D35:D37"/>
    <mergeCell ref="C5:C7"/>
    <mergeCell ref="D5:D7"/>
    <mergeCell ref="C14:C16"/>
    <mergeCell ref="D14:D16"/>
    <mergeCell ref="C23:C25"/>
    <mergeCell ref="B29:B31"/>
    <mergeCell ref="B32:B34"/>
    <mergeCell ref="B23:B25"/>
    <mergeCell ref="B26:B28"/>
  </mergeCells>
  <phoneticPr fontId="1" type="noConversion"/>
  <conditionalFormatting sqref="G41:Y71">
    <cfRule type="cellIs" dxfId="3" priority="5" operator="greaterThan">
      <formula>0.000255935</formula>
    </cfRule>
  </conditionalFormatting>
  <conditionalFormatting sqref="AA42:AS72">
    <cfRule type="cellIs" dxfId="2" priority="2" operator="greaterThan">
      <formula>0.5</formula>
    </cfRule>
    <cfRule type="cellIs" dxfId="1" priority="3" operator="greaterThan">
      <formula>0.1</formula>
    </cfRule>
    <cfRule type="cellIs" dxfId="0" priority="4" operator="greaterThan">
      <formula>0.05</formula>
    </cfRule>
  </conditionalFormatting>
  <conditionalFormatting sqref="AU43:BM7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{E714CB0B-67FC-450F-9536-D6CC360559CD}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14CB0B-67FC-450F-9536-D6CC360559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AU43:BM73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CA47C-2F05-40CE-A65F-70B127B9121D}">
  <sheetPr codeName="工作表4"/>
  <dimension ref="F1:Z66"/>
  <sheetViews>
    <sheetView tabSelected="1" topLeftCell="A12" zoomScale="70" zoomScaleNormal="70" workbookViewId="0">
      <selection activeCell="P38" sqref="P38"/>
    </sheetView>
  </sheetViews>
  <sheetFormatPr defaultColWidth="9" defaultRowHeight="15.5" x14ac:dyDescent="0.4"/>
  <cols>
    <col min="1" max="1" width="1.7265625" style="62" customWidth="1"/>
    <col min="2" max="2" width="7.7265625" style="62" customWidth="1"/>
    <col min="3" max="3" width="28.36328125" style="62" customWidth="1"/>
    <col min="4" max="4" width="9.6328125" style="62" customWidth="1"/>
    <col min="5" max="5" width="4.08984375" style="62" customWidth="1"/>
    <col min="6" max="19" width="9.453125" style="62" customWidth="1"/>
    <col min="20" max="20" width="9" style="62" customWidth="1"/>
    <col min="21" max="21" width="9.453125" style="62" customWidth="1"/>
    <col min="22" max="22" width="10.6328125" style="62" customWidth="1"/>
    <col min="23" max="23" width="10.453125" style="62" customWidth="1"/>
    <col min="24" max="24" width="9.453125" style="62" customWidth="1"/>
    <col min="25" max="25" width="6.6328125" style="62" customWidth="1"/>
    <col min="26" max="26" width="9.6328125" style="62" customWidth="1"/>
    <col min="27" max="16384" width="9" style="62"/>
  </cols>
  <sheetData>
    <row r="1" spans="6:26" ht="11.25" customHeight="1" x14ac:dyDescent="0.4">
      <c r="Y1" s="75"/>
      <c r="Z1" s="75"/>
    </row>
    <row r="2" spans="6:26" x14ac:dyDescent="0.4">
      <c r="F2" s="81" t="s">
        <v>128</v>
      </c>
      <c r="G2" s="111" t="s">
        <v>157</v>
      </c>
      <c r="H2" s="111"/>
      <c r="I2" s="111"/>
      <c r="J2" s="111" t="s">
        <v>156</v>
      </c>
      <c r="K2" s="111"/>
      <c r="L2" s="111"/>
      <c r="M2" s="111"/>
      <c r="N2" s="111"/>
      <c r="O2" s="111" t="s">
        <v>133</v>
      </c>
      <c r="P2" s="111"/>
      <c r="Q2" s="111"/>
      <c r="R2" s="111"/>
      <c r="S2" s="111"/>
      <c r="T2" s="111" t="s">
        <v>131</v>
      </c>
      <c r="U2" s="111"/>
      <c r="V2" s="111"/>
      <c r="W2" s="111"/>
      <c r="X2" s="111"/>
    </row>
    <row r="3" spans="6:26" ht="18" x14ac:dyDescent="0.4">
      <c r="F3" s="80">
        <f>Input!E4</f>
        <v>143.83000000000001</v>
      </c>
      <c r="G3" s="78" t="s">
        <v>155</v>
      </c>
      <c r="H3" s="78" t="s">
        <v>154</v>
      </c>
      <c r="I3" s="78" t="s">
        <v>57</v>
      </c>
      <c r="J3" s="79" t="s">
        <v>153</v>
      </c>
      <c r="K3" s="79" t="s">
        <v>19</v>
      </c>
      <c r="L3" s="79" t="s">
        <v>152</v>
      </c>
      <c r="M3" s="79" t="s">
        <v>29</v>
      </c>
      <c r="N3" s="79" t="s">
        <v>32</v>
      </c>
      <c r="O3" s="79" t="str">
        <f>Outcome!H4</f>
        <v>10 Call</v>
      </c>
      <c r="P3" s="79" t="str">
        <f>Outcome!K4</f>
        <v>25 Call</v>
      </c>
      <c r="Q3" s="79" t="str">
        <f>Outcome!P4</f>
        <v>ATM</v>
      </c>
      <c r="R3" s="79" t="str">
        <f>Outcome!U4</f>
        <v>25 Put</v>
      </c>
      <c r="S3" s="79" t="str">
        <f>Outcome!X4</f>
        <v>10 Put</v>
      </c>
      <c r="T3" s="79" t="s">
        <v>153</v>
      </c>
      <c r="U3" s="79" t="s">
        <v>19</v>
      </c>
      <c r="V3" s="79" t="s">
        <v>152</v>
      </c>
      <c r="W3" s="79" t="s">
        <v>29</v>
      </c>
      <c r="X3" s="79" t="s">
        <v>32</v>
      </c>
    </row>
    <row r="4" spans="6:26" x14ac:dyDescent="0.4">
      <c r="F4" s="81" t="str">
        <f>Input!C7</f>
        <v>1W</v>
      </c>
      <c r="G4" s="78">
        <f>Process!C4*100</f>
        <v>-0.479627901289713</v>
      </c>
      <c r="H4" s="78">
        <f>Process!D4*100</f>
        <v>3.0723508099563266</v>
      </c>
      <c r="I4" s="78">
        <f>Process!C5</f>
        <v>1.9178082191780823E-2</v>
      </c>
      <c r="J4" s="72">
        <f>Outcome!H7</f>
        <v>0.13495034430306355</v>
      </c>
      <c r="K4" s="72">
        <f>Outcome!K7</f>
        <v>0.41333672260057225</v>
      </c>
      <c r="L4" s="72">
        <f>Outcome!P7</f>
        <v>1.1657758851018702</v>
      </c>
      <c r="M4" s="72">
        <f>Outcome!U7</f>
        <v>0.47308472573702809</v>
      </c>
      <c r="N4" s="72">
        <f>Outcome!X7</f>
        <v>0.17818739999869512</v>
      </c>
      <c r="O4" s="71">
        <f>Outcome!H5</f>
        <v>14.265500000000003</v>
      </c>
      <c r="P4" s="71">
        <f>Outcome!K5</f>
        <v>13.834</v>
      </c>
      <c r="Q4" s="71">
        <f>Outcome!P5</f>
        <v>14.497999999999999</v>
      </c>
      <c r="R4" s="71">
        <f>Outcome!U5</f>
        <v>16.021999999999998</v>
      </c>
      <c r="S4" s="71">
        <f>Outcome!X5</f>
        <v>18.970499999999998</v>
      </c>
      <c r="T4" s="77">
        <f>Outcome!H6</f>
        <v>147.42976019412365</v>
      </c>
      <c r="U4" s="77">
        <f>Outcome!K6</f>
        <v>145.60166633574315</v>
      </c>
      <c r="V4" s="77">
        <f>Outcome!P6</f>
        <v>143.70308931846913</v>
      </c>
      <c r="W4" s="77">
        <f>Outcome!U6</f>
        <v>141.60070138677477</v>
      </c>
      <c r="X4" s="77">
        <f>Outcome!X6</f>
        <v>138.99673134316262</v>
      </c>
    </row>
    <row r="5" spans="6:26" x14ac:dyDescent="0.4">
      <c r="F5" s="81" t="str">
        <f>Input!C8</f>
        <v>1M</v>
      </c>
      <c r="G5" s="78">
        <f>Process!C7*100</f>
        <v>-0.31980762861718387</v>
      </c>
      <c r="H5" s="78">
        <f>Process!D7*100</f>
        <v>3.0791337164634105</v>
      </c>
      <c r="I5" s="78">
        <f>Process!C8</f>
        <v>8.2191780821917804E-2</v>
      </c>
      <c r="J5" s="72">
        <f>Outcome!H10</f>
        <v>0.2638701316151848</v>
      </c>
      <c r="K5" s="72">
        <f>Outcome!K10</f>
        <v>0.82455844537852019</v>
      </c>
      <c r="L5" s="72">
        <f>Outcome!P10</f>
        <v>2.276066902072349</v>
      </c>
      <c r="M5" s="72">
        <f>Outcome!U10</f>
        <v>0.89824736445991793</v>
      </c>
      <c r="N5" s="72">
        <f>Outcome!X10</f>
        <v>0.32559385157984699</v>
      </c>
      <c r="O5" s="71">
        <f>Outcome!H8</f>
        <v>13.429499999999999</v>
      </c>
      <c r="P5" s="71">
        <f>Outcome!K8</f>
        <v>13.25</v>
      </c>
      <c r="Q5" s="71">
        <f>Outcome!P8</f>
        <v>13.545</v>
      </c>
      <c r="R5" s="71">
        <f>Outcome!U8</f>
        <v>14.77</v>
      </c>
      <c r="S5" s="71">
        <f>Outcome!X8</f>
        <v>16.794499999999999</v>
      </c>
      <c r="T5" s="77">
        <f>Outcome!H9</f>
        <v>150.72623631524996</v>
      </c>
      <c r="U5" s="77">
        <f>Outcome!K9</f>
        <v>147.14577223823855</v>
      </c>
      <c r="V5" s="77">
        <f>Outcome!P9</f>
        <v>143.32064919565053</v>
      </c>
      <c r="W5" s="77">
        <f>Outcome!U9</f>
        <v>139.41006584413776</v>
      </c>
      <c r="X5" s="77">
        <f>Outcome!X9</f>
        <v>134.92724587556694</v>
      </c>
    </row>
    <row r="6" spans="6:26" x14ac:dyDescent="0.4">
      <c r="F6" s="81" t="str">
        <f>Input!C9</f>
        <v>2M</v>
      </c>
      <c r="G6" s="78">
        <f>Process!C10*100</f>
        <v>-0.32950753183676235</v>
      </c>
      <c r="H6" s="78">
        <f>Process!D10*100</f>
        <v>3.4868815421284891</v>
      </c>
      <c r="I6" s="78">
        <f>Process!C11</f>
        <v>0.16164383561643836</v>
      </c>
      <c r="J6" s="72">
        <f>Outcome!H13</f>
        <v>0.3778072317005321</v>
      </c>
      <c r="K6" s="72">
        <f>Outcome!K13</f>
        <v>1.154409833310428</v>
      </c>
      <c r="L6" s="72">
        <f>Outcome!P13</f>
        <v>3.1627149245853827</v>
      </c>
      <c r="M6" s="72">
        <f>Outcome!U13</f>
        <v>1.2328578583855299</v>
      </c>
      <c r="N6" s="72">
        <f>Outcome!X13</f>
        <v>0.44311539017142582</v>
      </c>
      <c r="O6" s="71">
        <f>Outcome!H11</f>
        <v>13.667500000000041</v>
      </c>
      <c r="P6" s="71">
        <f>Outcome!K11</f>
        <v>13.157000000000005</v>
      </c>
      <c r="Q6" s="71">
        <f>Outcome!P11</f>
        <v>13.345000000000001</v>
      </c>
      <c r="R6" s="71">
        <f>Outcome!U11</f>
        <v>14.507000000000003</v>
      </c>
      <c r="S6" s="71">
        <f>Outcome!X11</f>
        <v>16.3325</v>
      </c>
      <c r="T6" s="77">
        <f>Outcome!H12</f>
        <v>153.45412995806424</v>
      </c>
      <c r="U6" s="77">
        <f>Outcome!K12</f>
        <v>148.11333004393543</v>
      </c>
      <c r="V6" s="77">
        <f>Outcome!P12</f>
        <v>142.73984951465908</v>
      </c>
      <c r="W6" s="77">
        <f>Outcome!U12</f>
        <v>137.48173151798613</v>
      </c>
      <c r="X6" s="77">
        <f>Outcome!X12</f>
        <v>131.56612789836916</v>
      </c>
    </row>
    <row r="7" spans="6:26" x14ac:dyDescent="0.4">
      <c r="F7" s="81" t="str">
        <f>Input!C10</f>
        <v>3M</v>
      </c>
      <c r="G7" s="78">
        <f>Process!C13*100</f>
        <v>-0.32732672383959716</v>
      </c>
      <c r="H7" s="78">
        <f>Process!D13*100</f>
        <v>3.5883769502289677</v>
      </c>
      <c r="I7" s="78">
        <f>Process!C14</f>
        <v>0.24931506849315069</v>
      </c>
      <c r="J7" s="72">
        <f>Outcome!H16</f>
        <v>0.47105756884577077</v>
      </c>
      <c r="K7" s="72">
        <f>Outcome!K16</f>
        <v>1.4246101956969723</v>
      </c>
      <c r="L7" s="72">
        <f>Outcome!P16</f>
        <v>3.8611844266717648</v>
      </c>
      <c r="M7" s="72">
        <f>Outcome!U16</f>
        <v>1.4854219306222445</v>
      </c>
      <c r="N7" s="72">
        <f>Outcome!X16</f>
        <v>0.53523473906919528</v>
      </c>
      <c r="O7" s="71">
        <f>Outcome!H14</f>
        <v>13.683500000000029</v>
      </c>
      <c r="P7" s="71">
        <f>Outcome!K14</f>
        <v>13.013</v>
      </c>
      <c r="Q7" s="71">
        <f>Outcome!P14</f>
        <v>13.073</v>
      </c>
      <c r="R7" s="71">
        <f>Outcome!U14</f>
        <v>14.108000000000001</v>
      </c>
      <c r="S7" s="71">
        <f>Outcome!X14</f>
        <v>15.9085</v>
      </c>
      <c r="T7" s="77">
        <f>Outcome!H15</f>
        <v>155.5787670430708</v>
      </c>
      <c r="U7" s="77">
        <f>Outcome!K15</f>
        <v>148.76005117473397</v>
      </c>
      <c r="V7" s="77">
        <f>Outcome!P15</f>
        <v>142.12957884230386</v>
      </c>
      <c r="W7" s="77">
        <f>Outcome!U15</f>
        <v>135.91224355762873</v>
      </c>
      <c r="X7" s="77">
        <f>Outcome!X15</f>
        <v>128.88492100593618</v>
      </c>
    </row>
    <row r="8" spans="6:26" x14ac:dyDescent="0.4">
      <c r="F8" s="81" t="str">
        <f>Input!C11</f>
        <v>6M</v>
      </c>
      <c r="G8" s="78">
        <f>Process!C16*100</f>
        <v>-0.60304713085023509</v>
      </c>
      <c r="H8" s="78">
        <f>Process!D16*100</f>
        <v>4.0903251122836108</v>
      </c>
      <c r="I8" s="78">
        <f>Process!C17</f>
        <v>0.49041095890410957</v>
      </c>
      <c r="J8" s="72">
        <f>Outcome!H19</f>
        <v>0.65603263473831464</v>
      </c>
      <c r="K8" s="72">
        <f>Outcome!K19</f>
        <v>1.9403126237621744</v>
      </c>
      <c r="L8" s="72">
        <f>Outcome!P19</f>
        <v>5.086299245485244</v>
      </c>
      <c r="M8" s="72">
        <f>Outcome!U19</f>
        <v>1.9228918581689656</v>
      </c>
      <c r="N8" s="72">
        <f>Outcome!X19</f>
        <v>0.68499626966296523</v>
      </c>
      <c r="O8" s="71">
        <f>Outcome!H17</f>
        <v>13.500500000000015</v>
      </c>
      <c r="P8" s="71">
        <f>Outcome!K17</f>
        <v>12.504999999999999</v>
      </c>
      <c r="Q8" s="71">
        <f>Outcome!P17</f>
        <v>12.27</v>
      </c>
      <c r="R8" s="71">
        <f>Outcome!U17</f>
        <v>13.055</v>
      </c>
      <c r="S8" s="71">
        <f>Outcome!X17</f>
        <v>14.535499999999999</v>
      </c>
      <c r="T8" s="77">
        <f>Outcome!H18</f>
        <v>158.81373723907018</v>
      </c>
      <c r="U8" s="77">
        <f>Outcome!K18</f>
        <v>148.922368082194</v>
      </c>
      <c r="V8" s="77">
        <f>Outcome!P18</f>
        <v>140.03936969595679</v>
      </c>
      <c r="W8" s="77">
        <f>Outcome!U18</f>
        <v>132.37520322613318</v>
      </c>
      <c r="X8" s="77">
        <f>Outcome!X18</f>
        <v>123.8021769584293</v>
      </c>
    </row>
    <row r="9" spans="6:26" x14ac:dyDescent="0.4">
      <c r="F9" s="81" t="str">
        <f>Input!C12</f>
        <v>9M</v>
      </c>
      <c r="G9" s="78">
        <f>Process!C19*100</f>
        <v>-0.56526012511621748</v>
      </c>
      <c r="H9" s="78">
        <f>Process!D19*100</f>
        <v>4.2851413500192335</v>
      </c>
      <c r="I9" s="78">
        <f>Process!C20</f>
        <v>0.74794520547945209</v>
      </c>
      <c r="J9" s="72">
        <f>Outcome!H22</f>
        <v>0.81399070525829109</v>
      </c>
      <c r="K9" s="72">
        <f>Outcome!K22</f>
        <v>2.3723613095111973</v>
      </c>
      <c r="L9" s="72">
        <f>Outcome!P22</f>
        <v>6.0471303264883698</v>
      </c>
      <c r="M9" s="72">
        <f>Outcome!U22</f>
        <v>2.2641444520875877</v>
      </c>
      <c r="N9" s="72">
        <f>Outcome!X22</f>
        <v>0.80752820255568325</v>
      </c>
      <c r="O9" s="71">
        <f>Outcome!H20</f>
        <v>13.482500000000053</v>
      </c>
      <c r="P9" s="71">
        <f>Outcome!K20</f>
        <v>12.260000000000021</v>
      </c>
      <c r="Q9" s="71">
        <f>Outcome!P20</f>
        <v>11.845000000000001</v>
      </c>
      <c r="R9" s="71">
        <f>Outcome!U20</f>
        <v>12.460000000000003</v>
      </c>
      <c r="S9" s="71">
        <f>Outcome!X20</f>
        <v>13.882500000000004</v>
      </c>
      <c r="T9" s="77">
        <f>Outcome!H21</f>
        <v>161.21299090544957</v>
      </c>
      <c r="U9" s="77">
        <f>Outcome!K21</f>
        <v>148.60615861736014</v>
      </c>
      <c r="V9" s="77">
        <f>Outcome!P21</f>
        <v>137.97971963563816</v>
      </c>
      <c r="W9" s="77">
        <f>Outcome!U21</f>
        <v>129.37334205845389</v>
      </c>
      <c r="X9" s="77">
        <f>Outcome!X21</f>
        <v>119.57480742502975</v>
      </c>
    </row>
    <row r="10" spans="6:26" x14ac:dyDescent="0.4">
      <c r="F10" s="81" t="str">
        <f>Input!C13</f>
        <v>1Y</v>
      </c>
      <c r="G10" s="78">
        <f>Process!C22*100</f>
        <v>-0.56891014242549132</v>
      </c>
      <c r="H10" s="78">
        <f>Process!D22*100</f>
        <v>4.3955214190315708</v>
      </c>
      <c r="I10" s="78">
        <f>Process!C23</f>
        <v>1</v>
      </c>
      <c r="J10" s="72">
        <f>Outcome!H25</f>
        <v>0.94532372524657149</v>
      </c>
      <c r="K10" s="72">
        <f>Outcome!K25</f>
        <v>2.7342585345728154</v>
      </c>
      <c r="L10" s="72">
        <f>Outcome!P25</f>
        <v>6.7795858228104953</v>
      </c>
      <c r="M10" s="72">
        <f>Outcome!U25</f>
        <v>2.5280224432803635</v>
      </c>
      <c r="N10" s="72">
        <f>Outcome!X25</f>
        <v>0.89665593526325704</v>
      </c>
      <c r="O10" s="71">
        <f>Outcome!H23</f>
        <v>13.468000000000046</v>
      </c>
      <c r="P10" s="71">
        <f>Outcome!K23</f>
        <v>12.112000000000105</v>
      </c>
      <c r="Q10" s="71">
        <f>Outcome!P23</f>
        <v>11.54</v>
      </c>
      <c r="R10" s="71">
        <f>Outcome!U23</f>
        <v>12.032</v>
      </c>
      <c r="S10" s="71">
        <f>Outcome!X23</f>
        <v>13.327999999999998</v>
      </c>
      <c r="T10" s="77">
        <f>Outcome!H24</f>
        <v>162.7597332605406</v>
      </c>
      <c r="U10" s="77">
        <f>Outcome!K24</f>
        <v>147.8978235709699</v>
      </c>
      <c r="V10" s="77">
        <f>Outcome!P24</f>
        <v>135.95570729029251</v>
      </c>
      <c r="W10" s="77">
        <f>Outcome!U24</f>
        <v>126.76692366161332</v>
      </c>
      <c r="X10" s="77">
        <f>Outcome!X24</f>
        <v>116.22386947604892</v>
      </c>
    </row>
    <row r="11" spans="6:26" x14ac:dyDescent="0.4">
      <c r="F11" s="81" t="str">
        <f>Input!C14</f>
        <v>2Y</v>
      </c>
      <c r="G11" s="78">
        <f>Process!C25*100</f>
        <v>-0.60408238137865622</v>
      </c>
      <c r="H11" s="78">
        <f>Process!D25*100</f>
        <v>4.3743339835185235</v>
      </c>
      <c r="I11" s="78">
        <f>Process!C26</f>
        <v>2.0027397260273974</v>
      </c>
      <c r="J11" s="72">
        <f>Outcome!H28</f>
        <v>1.1891113836453668</v>
      </c>
      <c r="K11" s="72">
        <f>Outcome!K28</f>
        <v>3.3629030196719607</v>
      </c>
      <c r="L11" s="72">
        <f>Outcome!P28</f>
        <v>8.1080856393733942</v>
      </c>
      <c r="M11" s="72">
        <f>Outcome!U28</f>
        <v>3.0349145622400719</v>
      </c>
      <c r="N11" s="72">
        <f>Outcome!X28</f>
        <v>1.0879205162877277</v>
      </c>
      <c r="O11" s="71">
        <f>Outcome!H26</f>
        <v>13.090000000000188</v>
      </c>
      <c r="P11" s="71">
        <f>Outcome!K26</f>
        <v>11.525000000000112</v>
      </c>
      <c r="Q11" s="71">
        <f>Outcome!P26</f>
        <v>10.91</v>
      </c>
      <c r="R11" s="71">
        <f>Outcome!U26</f>
        <v>11.415000000000001</v>
      </c>
      <c r="S11" s="71">
        <f>Outcome!X26</f>
        <v>12.67</v>
      </c>
      <c r="T11" s="77">
        <f>Outcome!H27</f>
        <v>166.37775085565175</v>
      </c>
      <c r="U11" s="77">
        <f>Outcome!K27</f>
        <v>145.396956140681</v>
      </c>
      <c r="V11" s="77">
        <f>Outcome!P27</f>
        <v>130.18119977105806</v>
      </c>
      <c r="W11" s="77">
        <f>Outcome!U27</f>
        <v>116.86278252312918</v>
      </c>
      <c r="X11" s="77">
        <f>Outcome!X27</f>
        <v>104.22077646703521</v>
      </c>
    </row>
    <row r="12" spans="6:26" x14ac:dyDescent="0.4">
      <c r="F12" s="81" t="str">
        <f>Input!C15</f>
        <v>5Y</v>
      </c>
      <c r="G12" s="78">
        <f>Process!C28*100</f>
        <v>-0.60358598141361663</v>
      </c>
      <c r="H12" s="78">
        <f>Process!D28*100</f>
        <v>3.8213209343715153</v>
      </c>
      <c r="I12" s="78">
        <f>Process!C29</f>
        <v>4.9972602739726026</v>
      </c>
      <c r="J12" s="72">
        <f>Outcome!H31</f>
        <v>1.6087074680039521</v>
      </c>
      <c r="K12" s="72">
        <f>Outcome!K31</f>
        <v>4.550008196777215</v>
      </c>
      <c r="L12" s="72">
        <f>Outcome!P31</f>
        <v>10.43828163806427</v>
      </c>
      <c r="M12" s="72">
        <f>Outcome!U31</f>
        <v>3.8191864480787934</v>
      </c>
      <c r="N12" s="72">
        <f>Outcome!X31</f>
        <v>1.4774081124609817</v>
      </c>
      <c r="O12" s="71">
        <f>Outcome!H29</f>
        <v>12.262500000000525</v>
      </c>
      <c r="P12" s="71">
        <f>Outcome!K29</f>
        <v>10.69380000000004</v>
      </c>
      <c r="Q12" s="71">
        <f>Outcome!P29</f>
        <v>9.8699999999999992</v>
      </c>
      <c r="R12" s="71">
        <f>Outcome!U29</f>
        <v>10.271299999999998</v>
      </c>
      <c r="S12" s="71">
        <f>Outcome!X29</f>
        <v>12.2575</v>
      </c>
      <c r="T12" s="77">
        <f>Outcome!H30</f>
        <v>166.70053748902842</v>
      </c>
      <c r="U12" s="77">
        <f>Outcome!K30</f>
        <v>135.58059488690984</v>
      </c>
      <c r="V12" s="77">
        <f>Outcome!P30</f>
        <v>115.29659914728823</v>
      </c>
      <c r="W12" s="77">
        <f>Outcome!U30</f>
        <v>98.978254536526975</v>
      </c>
      <c r="X12" s="77">
        <f>Outcome!X30</f>
        <v>82.559535839834524</v>
      </c>
    </row>
    <row r="13" spans="6:26" x14ac:dyDescent="0.4">
      <c r="F13" s="81" t="str">
        <f>Input!C16</f>
        <v>7Y</v>
      </c>
      <c r="G13" s="78">
        <f>Process!C31*100</f>
        <v>-0.53057157602994509</v>
      </c>
      <c r="H13" s="78">
        <f>Process!D31*100</f>
        <v>3.624007540191688</v>
      </c>
      <c r="I13" s="78">
        <f>Process!C32</f>
        <v>7.0054794520547947</v>
      </c>
      <c r="J13" s="72">
        <f>Outcome!H34</f>
        <v>1.6794379361952974</v>
      </c>
      <c r="K13" s="72">
        <f>Outcome!K34</f>
        <v>4.8100818771388436</v>
      </c>
      <c r="L13" s="72">
        <f>Outcome!P34</f>
        <v>11.444000059638539</v>
      </c>
      <c r="M13" s="72">
        <f>Outcome!U34</f>
        <v>4.3607215614524861</v>
      </c>
      <c r="N13" s="72">
        <f>Outcome!X34</f>
        <v>1.8228726305752547</v>
      </c>
      <c r="O13" s="71">
        <f>Outcome!H32</f>
        <v>11.462500000000523</v>
      </c>
      <c r="P13" s="71">
        <f>Outcome!K32</f>
        <v>10.080000000000016</v>
      </c>
      <c r="Q13" s="71">
        <f>Outcome!P32</f>
        <v>9.74</v>
      </c>
      <c r="R13" s="71">
        <f>Outcome!U32</f>
        <v>10.7</v>
      </c>
      <c r="S13" s="71">
        <f>Outcome!X32</f>
        <v>13.797500000000005</v>
      </c>
      <c r="T13" s="77">
        <f>Outcome!H33</f>
        <v>162.01683420691663</v>
      </c>
      <c r="U13" s="77">
        <f>Outcome!K33</f>
        <v>128.81769323625667</v>
      </c>
      <c r="V13" s="77">
        <f>Outcome!P33</f>
        <v>107.5099993347706</v>
      </c>
      <c r="W13" s="77">
        <f>Outcome!U33</f>
        <v>89.139720952260276</v>
      </c>
      <c r="X13" s="77">
        <f>Outcome!X33</f>
        <v>69.407466742369721</v>
      </c>
    </row>
    <row r="14" spans="6:26" x14ac:dyDescent="0.4">
      <c r="F14" s="81" t="str">
        <f>Input!C17</f>
        <v>10Y</v>
      </c>
      <c r="G14" s="78">
        <f>Process!C34*100</f>
        <v>-0.35406024045582546</v>
      </c>
      <c r="H14" s="78">
        <f>Process!D34*100</f>
        <v>3.4743963583141704</v>
      </c>
      <c r="I14" s="78">
        <f>Process!C35</f>
        <v>10.002739726027396</v>
      </c>
      <c r="J14" s="72">
        <f>Outcome!H37</f>
        <v>1.6405888545636511</v>
      </c>
      <c r="K14" s="72">
        <f>Outcome!K37</f>
        <v>4.8523480931912877</v>
      </c>
      <c r="L14" s="72">
        <f>Outcome!P37</f>
        <v>12.50711621322313</v>
      </c>
      <c r="M14" s="72">
        <f>Outcome!U37</f>
        <v>5.0451289795789664</v>
      </c>
      <c r="N14" s="72">
        <f>Outcome!X37</f>
        <v>2.2334003632210329</v>
      </c>
      <c r="O14" s="71">
        <f>Outcome!H35</f>
        <v>10.257500000000164</v>
      </c>
      <c r="P14" s="71">
        <f>Outcome!K35</f>
        <v>9.2674999999999983</v>
      </c>
      <c r="Q14" s="71">
        <f>Outcome!P35</f>
        <v>9.7949999999999999</v>
      </c>
      <c r="R14" s="71">
        <f>Outcome!U35</f>
        <v>11.6325</v>
      </c>
      <c r="S14" s="71">
        <f>Outcome!X35</f>
        <v>15.872499999999997</v>
      </c>
      <c r="T14" s="77">
        <f>Outcome!H36</f>
        <v>152.29338513391818</v>
      </c>
      <c r="U14" s="77">
        <f>Outcome!K36</f>
        <v>119.60980347167779</v>
      </c>
      <c r="V14" s="77">
        <f>Outcome!P36</f>
        <v>98.069998834211049</v>
      </c>
      <c r="W14" s="77">
        <f>Outcome!U36</f>
        <v>77.028650749760104</v>
      </c>
      <c r="X14" s="77">
        <f>Outcome!X36</f>
        <v>54.575397936712527</v>
      </c>
    </row>
    <row r="15" spans="6:26" x14ac:dyDescent="0.4">
      <c r="J15" s="76"/>
      <c r="K15" s="76"/>
      <c r="L15" s="76"/>
      <c r="M15" s="76"/>
      <c r="N15" s="76"/>
      <c r="O15" s="76"/>
      <c r="P15" s="76"/>
      <c r="Q15" s="76"/>
      <c r="R15" s="76"/>
      <c r="S15" s="76"/>
    </row>
    <row r="16" spans="6:26" ht="16.5" customHeight="1" x14ac:dyDescent="0.4">
      <c r="F16" s="111" t="s">
        <v>151</v>
      </c>
      <c r="G16" s="111"/>
      <c r="H16" s="111"/>
      <c r="I16" s="111"/>
      <c r="J16" s="112" t="s">
        <v>143</v>
      </c>
      <c r="K16" s="112"/>
      <c r="L16" s="112"/>
      <c r="M16" s="112"/>
      <c r="N16" s="112"/>
      <c r="O16" s="112" t="s">
        <v>142</v>
      </c>
      <c r="P16" s="112"/>
      <c r="Q16" s="112"/>
      <c r="R16" s="112"/>
      <c r="S16" s="112"/>
      <c r="T16" s="62" t="s">
        <v>141</v>
      </c>
      <c r="U16" s="62" t="s">
        <v>140</v>
      </c>
      <c r="V16" s="62" t="s">
        <v>139</v>
      </c>
      <c r="W16" s="62" t="s">
        <v>138</v>
      </c>
      <c r="X16" s="62" t="s">
        <v>137</v>
      </c>
    </row>
    <row r="17" spans="6:24" x14ac:dyDescent="0.4">
      <c r="J17" s="72">
        <f>(1-$G$19)*premium($F$3-$G$22,$G4,$H4,T4-$G$22*EXP(($G4-$H4)/100*$I4),$G$20,$I4,1)+$G$19*premium($F$3-$G$23,$G4,$H4,T4-$G$23*EXP(($G4-$H4)/100*$I4),$G$21,$I4,1)</f>
        <v>0.22314066333804108</v>
      </c>
      <c r="K17" s="72">
        <f t="shared" ref="K17:K27" si="0">(1-$G$19)*premium($F$3-$G$22,$G4,$H4,U4-$G$22*EXP(($G4-$H4)/100*$I4),$G$20,$I4,1)+$G$19*premium($F$3-$G$23,$G4,$H4,U4-$G$23*EXP(($G4-$H4)/100*$I4),$G$21,$I4,1)</f>
        <v>0.36017013330461289</v>
      </c>
      <c r="L17" s="72">
        <f t="shared" ref="L17:L27" si="1">(1-$G$19)*premium($F$3-$G$22,$G4,$H4,V4-$G$22*EXP(($G4-$H4)/100*$I4),$G$20,$I4,1)+$G$19*premium($F$3-$G$23,$G4,$H4,V4-$G$23*EXP(($G4-$H4)/100*$I4),$G$21,$I4,1)</f>
        <v>0.95974227156269187</v>
      </c>
      <c r="M17" s="72">
        <f t="shared" ref="M17:M27" si="2">(1-$G$19)*premium($F$3-$G$22,$G4,$H4,W4-$G$22*EXP(($G4-$H4)/100*$I4),$G$20,$I4,-1)+$G$19*premium($F$3-$G$23,$G4,$H4,W4-$G$23*EXP(($G4-$H4)/100*$I4),$G$21,$I4,-1)</f>
        <v>0.31987318387939923</v>
      </c>
      <c r="N17" s="72">
        <f t="shared" ref="N17:N27" si="3">(1-$G$19)*premium($F$3-$G$22,$G4,$H4,X4-$G$22*EXP(($G4-$H4)/100*$I4),$G$20,$I4,-1)+$G$19*premium($F$3-$G$23,$G4,$H4,X4-$G$23*EXP(($G4-$H4)/100*$I4),$G$21,$I4,-1)</f>
        <v>0.20215405456561863</v>
      </c>
      <c r="O17" s="71">
        <f t="shared" ref="O17:O27" si="4">implied_Vol($F$3,$G4,$H4,T4,J17,$I4,1)</f>
        <v>16.502023396061034</v>
      </c>
      <c r="P17" s="71">
        <f t="shared" ref="P17:P27" si="5">implied_Vol($F$3,$G4,$H4,U4,K17,$I4,1)</f>
        <v>12.986393793958642</v>
      </c>
      <c r="Q17" s="71">
        <f t="shared" ref="Q17:Q27" si="6">implied_Vol($F$3,$G4,$H4,V4,L17,$I4,1)</f>
        <v>11.903100986781119</v>
      </c>
      <c r="R17" s="71">
        <f t="shared" ref="R17:R27" si="7">implied_Vol($F$3,$G4,$H4,W4,M17,$I4,-1)</f>
        <v>13.477961878765822</v>
      </c>
      <c r="S17" s="71">
        <f t="shared" ref="S17:S27" si="8">implied_Vol($F$3,$G4,$H4,X4,N17,$I4,-1)</f>
        <v>19.643414801796865</v>
      </c>
      <c r="T17" s="68">
        <f>(J17-J4)^2+(K17-K4)^2+(L17-L4)^2+(M17-M4)^2+(N17-N4)^2</f>
        <v>7.7102245586390047E-2</v>
      </c>
      <c r="U17" s="68">
        <f>ABS(J17-J4)+ABS(K17-K4)+ABS(L17-L4)+ABS(M17-M4)+ABS(N17-N4)</f>
        <v>0.52456871829466767</v>
      </c>
      <c r="V17" s="68">
        <f>(O17-O4)^2+(P17-P4)^2+(Q17-Q4)^2+(R17-R4)^2+(S17-S4)^2</f>
        <v>19.378918363222546</v>
      </c>
      <c r="W17" s="68">
        <f>ABS(O17-O4)+ABS(P17-P4)+ABS(Q17-Q4)+ABS(R17-R4)+ABS(S17-S4)</f>
        <v>8.8959815383523129</v>
      </c>
      <c r="X17" s="62">
        <f>((J17-J4)/MAX(J17,J4))^2+((K17-K4)/MAX(K17,K4))^2+((L17-L4)/MAX(L17,L4))^2+((M17-M4)/MAX(M17,M4))^2+((N17-N4)/MAX(N17,N4))^2</f>
        <v>0.32292026112529515</v>
      </c>
    </row>
    <row r="18" spans="6:24" x14ac:dyDescent="0.4">
      <c r="F18" s="75" t="s">
        <v>150</v>
      </c>
      <c r="G18" s="62">
        <f>1-G19</f>
        <v>0.99228125105292342</v>
      </c>
      <c r="J18" s="72">
        <f t="shared" ref="J18:J27" si="9">(1-$G$19)*premium($F$3-$G$22,$G5,$H5,T5-$G$22*EXP(($G5-$H5)/100*$I5),$G$20,$I5,1)+$G$19*premium($F$3-$G$23,$G5,$H5,T5-$G$23*EXP(($G5-$H5)/100*$I5),$G$21,$I5,1)</f>
        <v>0.46661563265196193</v>
      </c>
      <c r="K18" s="72">
        <f t="shared" si="0"/>
        <v>0.76223718304553201</v>
      </c>
      <c r="L18" s="72">
        <f t="shared" si="1"/>
        <v>1.9985348257447613</v>
      </c>
      <c r="M18" s="72">
        <f t="shared" si="2"/>
        <v>0.70065513870080487</v>
      </c>
      <c r="N18" s="72">
        <f t="shared" si="3"/>
        <v>0.4188558668891682</v>
      </c>
      <c r="O18" s="71">
        <f t="shared" si="4"/>
        <v>15.860004901832221</v>
      </c>
      <c r="P18" s="71">
        <f t="shared" si="5"/>
        <v>12.775491381169083</v>
      </c>
      <c r="Q18" s="71">
        <f t="shared" si="6"/>
        <v>11.852347186308362</v>
      </c>
      <c r="R18" s="71">
        <f t="shared" si="7"/>
        <v>13.198371500944971</v>
      </c>
      <c r="S18" s="71">
        <f t="shared" si="8"/>
        <v>18.034700800115736</v>
      </c>
      <c r="T18" s="68">
        <f t="shared" ref="T18:T27" si="10">(J18-J5)^2+(K18-K5)^2+(L18-L5)^2+(M18-M5)^2+(N18-N5)^2</f>
        <v>0.16975422250012925</v>
      </c>
      <c r="U18" s="68">
        <f t="shared" ref="U18:U26" si="11">ABS(J18-J5)+ABS(K18-K5)+ABS(L18-L5)+ABS(M18-M5)+ABS(N18-N5)</f>
        <v>0.83345308076578728</v>
      </c>
      <c r="V18" s="68">
        <f t="shared" ref="V18:V27" si="12">(O18-O5)^2+(P18-P5)^2+(Q18-Q5)^2+(R18-R5)^2+(S18-S5)^2</f>
        <v>13.005700218523179</v>
      </c>
      <c r="W18" s="68">
        <f t="shared" ref="W18:W27" si="13">ABS(O18-O5)+ABS(P18-P5)+ABS(Q18-Q5)+ABS(R18-R5)+ABS(S18-S5)</f>
        <v>7.4094956335255429</v>
      </c>
      <c r="X18" s="62">
        <f t="shared" ref="X18:X26" si="14">((J18-J5)/MAX(J18,J5))^2+((K18-K5)/MAX(K18,K5))^2+((L18-L5)/MAX(L18,L5))^2+((M18-M5)/MAX(M18,M5))^2+((N18-N5)/MAX(N18,N5))^2</f>
        <v>0.3073389471414541</v>
      </c>
    </row>
    <row r="19" spans="6:24" x14ac:dyDescent="0.4">
      <c r="F19" s="75" t="s">
        <v>149</v>
      </c>
      <c r="G19" s="73">
        <v>7.7187489470766125E-3</v>
      </c>
      <c r="J19" s="72">
        <f t="shared" si="9"/>
        <v>0.63394632287514385</v>
      </c>
      <c r="K19" s="72">
        <f t="shared" si="0"/>
        <v>1.0589024116625345</v>
      </c>
      <c r="L19" s="72">
        <f t="shared" si="1"/>
        <v>2.8067238332676436</v>
      </c>
      <c r="M19" s="72">
        <f t="shared" si="2"/>
        <v>0.98380749070137696</v>
      </c>
      <c r="N19" s="72">
        <f t="shared" si="3"/>
        <v>0.57428645256763189</v>
      </c>
      <c r="O19" s="71">
        <f t="shared" si="4"/>
        <v>15.87274386598212</v>
      </c>
      <c r="P19" s="71">
        <f t="shared" si="5"/>
        <v>12.63967899148075</v>
      </c>
      <c r="Q19" s="71">
        <f t="shared" si="6"/>
        <v>11.790910438483474</v>
      </c>
      <c r="R19" s="71">
        <f t="shared" si="7"/>
        <v>13.08881377836984</v>
      </c>
      <c r="S19" s="71">
        <f t="shared" si="8"/>
        <v>17.583303536068094</v>
      </c>
      <c r="T19" s="68">
        <f t="shared" si="10"/>
        <v>0.28069049196894053</v>
      </c>
      <c r="U19" s="68">
        <f t="shared" si="11"/>
        <v>1.0878590342206034</v>
      </c>
      <c r="V19" s="68">
        <f t="shared" si="12"/>
        <v>11.12167754458368</v>
      </c>
      <c r="W19" s="68">
        <f t="shared" si="13"/>
        <v>6.9456441937161184</v>
      </c>
      <c r="X19" s="62">
        <f t="shared" si="14"/>
        <v>0.27573979657122188</v>
      </c>
    </row>
    <row r="20" spans="6:24" x14ac:dyDescent="0.4">
      <c r="F20" s="75" t="s">
        <v>148</v>
      </c>
      <c r="G20" s="73">
        <v>2.0559683222206169</v>
      </c>
      <c r="J20" s="72">
        <f t="shared" si="9"/>
        <v>0.7666888762180204</v>
      </c>
      <c r="K20" s="72">
        <f t="shared" si="0"/>
        <v>1.3061970279499477</v>
      </c>
      <c r="L20" s="72">
        <f t="shared" si="1"/>
        <v>3.4795039559929419</v>
      </c>
      <c r="M20" s="72">
        <f t="shared" si="2"/>
        <v>1.2328342089519886</v>
      </c>
      <c r="N20" s="72">
        <f t="shared" si="3"/>
        <v>0.69781422731593135</v>
      </c>
      <c r="O20" s="71">
        <f t="shared" si="4"/>
        <v>15.739688507147655</v>
      </c>
      <c r="P20" s="71">
        <f t="shared" si="5"/>
        <v>12.4976484815858</v>
      </c>
      <c r="Q20" s="71">
        <f t="shared" si="6"/>
        <v>11.725960658084118</v>
      </c>
      <c r="R20" s="71">
        <f t="shared" si="7"/>
        <v>12.948550724927175</v>
      </c>
      <c r="S20" s="71">
        <f t="shared" si="8"/>
        <v>17.162645262179172</v>
      </c>
      <c r="T20" s="68">
        <f t="shared" si="10"/>
        <v>0.33733217702925955</v>
      </c>
      <c r="U20" s="68">
        <f t="shared" si="11"/>
        <v>1.2108921557150891</v>
      </c>
      <c r="V20" s="68">
        <f t="shared" si="12"/>
        <v>9.2252163132403417</v>
      </c>
      <c r="W20" s="68">
        <f t="shared" si="13"/>
        <v>6.3321739047297054</v>
      </c>
      <c r="X20" s="62">
        <f t="shared" si="14"/>
        <v>0.24856035290355757</v>
      </c>
    </row>
    <row r="21" spans="6:24" x14ac:dyDescent="0.4">
      <c r="F21" s="75" t="s">
        <v>147</v>
      </c>
      <c r="G21" s="73">
        <v>275.23842929325906</v>
      </c>
      <c r="J21" s="72">
        <f t="shared" si="9"/>
        <v>1.0067203343225468</v>
      </c>
      <c r="K21" s="72">
        <f t="shared" si="0"/>
        <v>1.8210895306508212</v>
      </c>
      <c r="L21" s="72">
        <f t="shared" si="1"/>
        <v>4.8082686785657831</v>
      </c>
      <c r="M21" s="72">
        <f t="shared" si="2"/>
        <v>1.7809255560980672</v>
      </c>
      <c r="N21" s="72">
        <f t="shared" si="3"/>
        <v>0.94686961197586261</v>
      </c>
      <c r="O21" s="71">
        <f t="shared" si="4"/>
        <v>15.253146950511445</v>
      </c>
      <c r="P21" s="71">
        <f t="shared" si="5"/>
        <v>12.13654574831512</v>
      </c>
      <c r="Q21" s="71">
        <f t="shared" si="6"/>
        <v>11.56145126615978</v>
      </c>
      <c r="R21" s="71">
        <f t="shared" si="7"/>
        <v>12.590256488025975</v>
      </c>
      <c r="S21" s="71">
        <f t="shared" si="8"/>
        <v>15.973867060370525</v>
      </c>
      <c r="T21" s="68">
        <f t="shared" si="10"/>
        <v>0.30322908305008939</v>
      </c>
      <c r="U21" s="68">
        <f t="shared" si="11"/>
        <v>1.1517810039988419</v>
      </c>
      <c r="V21" s="68">
        <f t="shared" si="12"/>
        <v>5.9944575092291554</v>
      </c>
      <c r="W21" s="68">
        <f t="shared" si="13"/>
        <v>4.7327605083810784</v>
      </c>
      <c r="X21" s="62">
        <f t="shared" si="14"/>
        <v>0.21004932654001968</v>
      </c>
    </row>
    <row r="22" spans="6:24" x14ac:dyDescent="0.4">
      <c r="F22" s="75" t="s">
        <v>146</v>
      </c>
      <c r="G22" s="73">
        <v>-499.95075058361533</v>
      </c>
      <c r="J22" s="72">
        <f t="shared" si="9"/>
        <v>1.1553416194269197</v>
      </c>
      <c r="K22" s="72">
        <f t="shared" si="0"/>
        <v>2.206253170058647</v>
      </c>
      <c r="L22" s="72">
        <f t="shared" si="1"/>
        <v>5.8382221197159909</v>
      </c>
      <c r="M22" s="72">
        <f t="shared" si="2"/>
        <v>2.2135153251351474</v>
      </c>
      <c r="N22" s="72">
        <f t="shared" si="3"/>
        <v>1.121026967121433</v>
      </c>
      <c r="O22" s="71">
        <f t="shared" si="4"/>
        <v>14.88320917024485</v>
      </c>
      <c r="P22" s="71">
        <f t="shared" si="5"/>
        <v>11.843828040474092</v>
      </c>
      <c r="Q22" s="71">
        <f t="shared" si="6"/>
        <v>11.408021345067914</v>
      </c>
      <c r="R22" s="71">
        <f t="shared" si="7"/>
        <v>12.325076615161297</v>
      </c>
      <c r="S22" s="71">
        <f t="shared" si="8"/>
        <v>15.290132323990813</v>
      </c>
      <c r="T22" s="68">
        <f t="shared" si="10"/>
        <v>0.28859978333321507</v>
      </c>
      <c r="U22" s="68">
        <f t="shared" si="11"/>
        <v>1.0804951519117481</v>
      </c>
      <c r="V22" s="68">
        <f t="shared" si="12"/>
        <v>4.3257687036898744</v>
      </c>
      <c r="W22" s="68">
        <f t="shared" si="13"/>
        <v>3.7964154935323275</v>
      </c>
      <c r="X22" s="62">
        <f t="shared" si="14"/>
        <v>0.17209531127497898</v>
      </c>
    </row>
    <row r="23" spans="6:24" x14ac:dyDescent="0.4">
      <c r="F23" s="75" t="s">
        <v>145</v>
      </c>
      <c r="G23" s="73">
        <v>-44.87014166426939</v>
      </c>
      <c r="J23" s="72">
        <f t="shared" si="9"/>
        <v>1.2474445360305426</v>
      </c>
      <c r="K23" s="72">
        <f t="shared" si="0"/>
        <v>2.5009662763419471</v>
      </c>
      <c r="L23" s="72">
        <f t="shared" si="1"/>
        <v>6.6359952304523073</v>
      </c>
      <c r="M23" s="72">
        <f>(1-$G$19)*premium($F$3-$G$22,$G10,$H10,W10-$G$22*EXP(($G10-$H10)/100*$I10),$G$20,$I10,-1)+$G$19*premium($F$3-$G$23,$G10,$H10,W10-$G$23*EXP(($G10-$H10)/100*$I10),$G$21,$I10,-1)</f>
        <v>2.5633951822642933</v>
      </c>
      <c r="N23" s="72">
        <f t="shared" si="3"/>
        <v>1.2572522456141577</v>
      </c>
      <c r="O23" s="71">
        <f t="shared" si="4"/>
        <v>14.55524394860797</v>
      </c>
      <c r="P23" s="71">
        <f t="shared" si="5"/>
        <v>11.604983607256338</v>
      </c>
      <c r="Q23" s="71">
        <f t="shared" si="6"/>
        <v>11.276762205957073</v>
      </c>
      <c r="R23" s="71">
        <f t="shared" si="7"/>
        <v>12.114022340242405</v>
      </c>
      <c r="S23" s="71">
        <f t="shared" si="8"/>
        <v>14.737306888694725</v>
      </c>
      <c r="T23" s="68">
        <f t="shared" si="10"/>
        <v>0.29760144997490579</v>
      </c>
      <c r="U23" s="68">
        <f t="shared" si="11"/>
        <v>1.0749727107078577</v>
      </c>
      <c r="V23" s="68">
        <f t="shared" si="12"/>
        <v>3.5013327333292912</v>
      </c>
      <c r="W23" s="68">
        <f t="shared" si="13"/>
        <v>3.3488273643317488</v>
      </c>
      <c r="X23" s="62">
        <f t="shared" si="14"/>
        <v>0.14883740218522368</v>
      </c>
    </row>
    <row r="24" spans="6:24" x14ac:dyDescent="0.4">
      <c r="J24" s="72">
        <f t="shared" si="9"/>
        <v>1.3816322614364356</v>
      </c>
      <c r="K24" s="72">
        <f t="shared" si="0"/>
        <v>3.0398738189012668</v>
      </c>
      <c r="L24" s="72">
        <f t="shared" si="1"/>
        <v>8.0584866287462447</v>
      </c>
      <c r="M24" s="72">
        <f t="shared" si="2"/>
        <v>3.2065615644804306</v>
      </c>
      <c r="N24" s="72">
        <f t="shared" si="3"/>
        <v>1.4868407618247603</v>
      </c>
      <c r="O24" s="71">
        <f t="shared" si="4"/>
        <v>13.623914310461004</v>
      </c>
      <c r="P24" s="71">
        <f t="shared" si="5"/>
        <v>11.000696763312666</v>
      </c>
      <c r="Q24" s="71">
        <f t="shared" si="6"/>
        <v>10.843129522110528</v>
      </c>
      <c r="R24" s="71">
        <f t="shared" si="7"/>
        <v>11.71867809788149</v>
      </c>
      <c r="S24" s="71">
        <f t="shared" si="8"/>
        <v>13.88392495285577</v>
      </c>
      <c r="T24" s="68">
        <f t="shared" si="10"/>
        <v>0.3324722704686171</v>
      </c>
      <c r="U24" s="68">
        <f t="shared" si="11"/>
        <v>1.1357163369663035</v>
      </c>
      <c r="V24" s="68">
        <f t="shared" si="12"/>
        <v>2.1302642140277492</v>
      </c>
      <c r="W24" s="68">
        <f t="shared" si="13"/>
        <v>2.6426910757749926</v>
      </c>
      <c r="X24" s="62">
        <f t="shared" si="14"/>
        <v>0.10353144777117984</v>
      </c>
    </row>
    <row r="25" spans="6:24" x14ac:dyDescent="0.4">
      <c r="J25" s="72">
        <f t="shared" si="9"/>
        <v>1.3810235609790704</v>
      </c>
      <c r="K25" s="72">
        <f t="shared" si="0"/>
        <v>3.974704337894484</v>
      </c>
      <c r="L25" s="72">
        <f t="shared" si="1"/>
        <v>10.876760248824011</v>
      </c>
      <c r="M25" s="72">
        <f t="shared" si="2"/>
        <v>4.4862233190577001</v>
      </c>
      <c r="N25" s="72">
        <f t="shared" si="3"/>
        <v>1.7532440793321871</v>
      </c>
      <c r="O25" s="71">
        <f t="shared" si="4"/>
        <v>11.801086075700294</v>
      </c>
      <c r="P25" s="71">
        <f t="shared" si="5"/>
        <v>10.050220944217626</v>
      </c>
      <c r="Q25" s="71">
        <f t="shared" si="6"/>
        <v>10.286401398484978</v>
      </c>
      <c r="R25" s="71">
        <f t="shared" si="7"/>
        <v>11.110488001774202</v>
      </c>
      <c r="S25" s="71">
        <f t="shared" si="8"/>
        <v>12.887058757341755</v>
      </c>
      <c r="T25" s="68">
        <f t="shared" si="10"/>
        <v>1.0961016515223723</v>
      </c>
      <c r="U25" s="68">
        <f t="shared" si="11"/>
        <v>2.1843392145174665</v>
      </c>
      <c r="V25" s="68">
        <f t="shared" si="12"/>
        <v>1.9010676665076454</v>
      </c>
      <c r="W25" s="68">
        <f t="shared" si="13"/>
        <v>2.9901411376835831</v>
      </c>
      <c r="X25" s="62">
        <f t="shared" si="14"/>
        <v>8.4503444416913209E-2</v>
      </c>
    </row>
    <row r="26" spans="6:24" x14ac:dyDescent="0.4">
      <c r="J26" s="72">
        <f t="shared" si="9"/>
        <v>1.3899738811132383</v>
      </c>
      <c r="K26" s="72">
        <f t="shared" si="0"/>
        <v>4.4639018166440527</v>
      </c>
      <c r="L26" s="72">
        <f t="shared" si="1"/>
        <v>11.887024222512744</v>
      </c>
      <c r="M26" s="72">
        <f t="shared" si="2"/>
        <v>4.6639105333842155</v>
      </c>
      <c r="N26" s="72">
        <f t="shared" si="3"/>
        <v>1.5555994606054395</v>
      </c>
      <c r="O26" s="71">
        <f t="shared" si="4"/>
        <v>10.935426457540521</v>
      </c>
      <c r="P26" s="71">
        <f t="shared" si="5"/>
        <v>9.7365972772371023</v>
      </c>
      <c r="Q26" s="71">
        <f t="shared" si="6"/>
        <v>10.119277779364731</v>
      </c>
      <c r="R26" s="71">
        <f t="shared" si="7"/>
        <v>11.05294019200937</v>
      </c>
      <c r="S26" s="71">
        <f t="shared" si="8"/>
        <v>13.189714290410024</v>
      </c>
      <c r="T26" s="68">
        <f t="shared" si="10"/>
        <v>0.56325898244585015</v>
      </c>
      <c r="U26" s="68">
        <f t="shared" si="11"/>
        <v>1.6491304203526005</v>
      </c>
      <c r="V26" s="68">
        <f t="shared" si="12"/>
        <v>1.033553830999568</v>
      </c>
      <c r="W26" s="68">
        <f t="shared" si="13"/>
        <v>2.2104799461869984</v>
      </c>
      <c r="X26" s="62">
        <f t="shared" si="14"/>
        <v>6.1999801693288691E-2</v>
      </c>
    </row>
    <row r="27" spans="6:24" x14ac:dyDescent="0.4">
      <c r="J27" s="72">
        <f t="shared" si="9"/>
        <v>1.4826596768166935</v>
      </c>
      <c r="K27" s="72">
        <f t="shared" si="0"/>
        <v>5.0612446806222584</v>
      </c>
      <c r="L27" s="72">
        <f t="shared" si="1"/>
        <v>12.733334979898306</v>
      </c>
      <c r="M27" s="72">
        <f t="shared" si="2"/>
        <v>4.5799401649177414</v>
      </c>
      <c r="N27" s="72">
        <f t="shared" si="3"/>
        <v>1.3210303735101616</v>
      </c>
      <c r="O27" s="71">
        <f t="shared" si="4"/>
        <v>10.000166807342264</v>
      </c>
      <c r="P27" s="71">
        <f t="shared" si="5"/>
        <v>9.4542948154027862</v>
      </c>
      <c r="Q27" s="71">
        <f t="shared" si="6"/>
        <v>9.9736271433941575</v>
      </c>
      <c r="R27" s="71">
        <f t="shared" si="7"/>
        <v>11.11111026617583</v>
      </c>
      <c r="S27" s="71">
        <f t="shared" si="8"/>
        <v>13.71963626057836</v>
      </c>
      <c r="T27" s="68">
        <f t="shared" si="10"/>
        <v>1.1685739712311038</v>
      </c>
      <c r="U27" s="68">
        <f>ABS(J27-J14)+ABS(K27-K14)+ABS(L27-L14)+ABS(M27-M14)+ABS(N27-N14)</f>
        <v>1.9706033362252007</v>
      </c>
      <c r="V27" s="68">
        <f t="shared" si="12"/>
        <v>5.0396898665157783</v>
      </c>
      <c r="W27" s="68">
        <f t="shared" si="13"/>
        <v>3.297008624700652</v>
      </c>
      <c r="X27" s="62">
        <f>((J27-J14)/MAX(J27,J14))^2+((K27-K14)/MAX(K27,K14))^2+((L27-L14)/MAX(L27,L14))^2+((M27-M14)/MAX(M27,M14))^2+((N27-N14)/MAX(N27,N14))^2</f>
        <v>0.18666945235152366</v>
      </c>
    </row>
    <row r="28" spans="6:24" x14ac:dyDescent="0.4">
      <c r="T28" s="69">
        <f t="shared" ref="T28:X28" si="15">SUM(T17:T27)</f>
        <v>4.9147163291108731</v>
      </c>
      <c r="U28" s="69">
        <f t="shared" si="15"/>
        <v>13.903811163676167</v>
      </c>
      <c r="V28" s="74">
        <f t="shared" si="15"/>
        <v>76.657646963868785</v>
      </c>
      <c r="W28" s="74">
        <f t="shared" si="15"/>
        <v>52.601619420915064</v>
      </c>
      <c r="X28" s="69">
        <f t="shared" si="15"/>
        <v>2.1222455439746564</v>
      </c>
    </row>
    <row r="30" spans="6:24" x14ac:dyDescent="0.4">
      <c r="F30" s="111" t="s">
        <v>144</v>
      </c>
      <c r="G30" s="111"/>
      <c r="H30" s="111"/>
      <c r="I30" s="111"/>
      <c r="J30" s="112" t="s">
        <v>143</v>
      </c>
      <c r="K30" s="112"/>
      <c r="L30" s="112"/>
      <c r="M30" s="112"/>
      <c r="N30" s="112"/>
      <c r="O30" s="112" t="s">
        <v>142</v>
      </c>
      <c r="P30" s="112"/>
      <c r="Q30" s="112"/>
      <c r="R30" s="112"/>
      <c r="S30" s="112"/>
      <c r="T30" s="62" t="s">
        <v>141</v>
      </c>
      <c r="U30" s="62" t="s">
        <v>140</v>
      </c>
      <c r="V30" s="62" t="s">
        <v>139</v>
      </c>
      <c r="W30" s="62" t="s">
        <v>138</v>
      </c>
      <c r="X30" s="62" t="s">
        <v>137</v>
      </c>
    </row>
    <row r="31" spans="6:24" x14ac:dyDescent="0.4">
      <c r="F31" s="73">
        <v>2.893449153192146</v>
      </c>
      <c r="G31" s="73">
        <v>152.28213350030484</v>
      </c>
      <c r="H31" s="62">
        <f>F31</f>
        <v>2.893449153192146</v>
      </c>
      <c r="I31" s="62">
        <f>G31</f>
        <v>152.28213350030484</v>
      </c>
      <c r="J31" s="72">
        <f>(1-$G$19)*premium($F$3-$G$22,$G4,$H4,T4-$G$22*EXP(($G4-$H4)/100*$I4),$H31,$I4,1)+$G$19*premium($F$3-$G$23,$G4,$H4,T4-$G$23*EXP(($G4-$H4)/100*$I4),$I31,$I4,1)</f>
        <v>0.19765975035505906</v>
      </c>
      <c r="K31" s="72">
        <f t="shared" ref="K31:K41" si="16">(1-$G$19)*premium($F$3-$G$22,$G4,$H4,U4-$G$22*EXP(($G4-$H4)/100*$I4),$H31,$I4,1)+$G$19*premium($F$3-$G$23,$G4,$H4,U4-$G$23*EXP(($G4-$H4)/100*$I4),$I31,$I4,1)</f>
        <v>0.46704068659305403</v>
      </c>
      <c r="L31" s="72">
        <f t="shared" ref="L31:L41" si="17">(1-$G$19)*premium($F$3-$G$22,$G4,$H4,V4-$G$22*EXP(($G4-$H4)/100*$I4),$H31,$I4,1)+$G$19*premium($F$3-$G$23,$G4,$H4,V4-$G$23*EXP(($G4-$H4)/100*$I4),$I31,$I4,1)</f>
        <v>1.1573343200686481</v>
      </c>
      <c r="M31" s="72">
        <f t="shared" ref="M31:M41" si="18">(1-$G$19)*premium($F$3-$G$22,$G4,$H4,W4-$G$22*EXP(($G4-$H4)/100*$I4),$H31,$I4,-1)+$G$19*premium($F$3-$G$23,$G4,$H4,W4-$G$23*EXP(($G4-$H4)/100*$I4),$I31,$I4,-1)</f>
        <v>0.40555851367612544</v>
      </c>
      <c r="N31" s="72">
        <f t="shared" ref="N31:N41" si="19">(1-$G$19)*premium($F$3-$G$22,$G4,$H4,X4-$G$22*EXP(($G4-$H4)/100*$I4),$H31,$I4,-1)+$G$19*premium($F$3-$G$23,$G4,$H4,X4-$G$23*EXP(($G4-$H4)/100*$I4),$I31,$I4,-1)</f>
        <v>0.13587313154075109</v>
      </c>
      <c r="O31" s="71">
        <f>implied_Vol($F$3,$G4,$H4,T4,J31,$I4,1)</f>
        <v>15.900572902724438</v>
      </c>
      <c r="P31" s="71">
        <f t="shared" ref="P31:Q31" si="20">implied_Vol($F$3,$G4,$H4,U4,K31,$I4,1)</f>
        <v>14.66674015967099</v>
      </c>
      <c r="Q31" s="71">
        <f t="shared" si="20"/>
        <v>14.391682619915475</v>
      </c>
      <c r="R31" s="71">
        <f>implied_Vol($F$3,$G4,$H4,W4,M31,$I4,-1)</f>
        <v>14.929390138321669</v>
      </c>
      <c r="S31" s="71">
        <f>implied_Vol($F$3,$G4,$H4,X4,N31,$I4,-1)</f>
        <v>17.674512846446202</v>
      </c>
      <c r="T31" s="70">
        <f>(J31-J4)^2+(K31-K4)^2+(L31-L4)^2+(M31-M4)^2+(N31-N4)^2</f>
        <v>1.3238132006534901E-2</v>
      </c>
      <c r="U31" s="70">
        <f>ABS(J31-J4)+ABS(K31-K4)+ABS(L31-L4)+ABS(M31-M4)+ABS(N31-N4)</f>
        <v>0.23469541559654611</v>
      </c>
      <c r="V31" s="70">
        <f>(O31-O4)^2+(P31-P4)^2+(Q31-Q4)^2+(R31-R4)^2+(S31-S4)^2</f>
        <v>6.251601968073822</v>
      </c>
      <c r="W31" s="70">
        <f>ABS(O31-O4)+ABS(P31-P4)+ABS(Q31-Q4)+ABS(R31-R4)+ABS(S31-S4)</f>
        <v>4.9627274577120755</v>
      </c>
      <c r="X31" s="70">
        <f>((J31-J4)/MAX(J31,J4))^2+((K31-K4)/MAX(K31,K4))^2+((L31-L4)/MAX(L31,L4))^2+((M31-M4)/MAX(M31,M4))^2+((N31-N4)/MAX(N31,N4))^2</f>
        <v>0.19069396712584388</v>
      </c>
    </row>
    <row r="32" spans="6:24" x14ac:dyDescent="0.4">
      <c r="F32" s="73">
        <v>2.7567752448290026</v>
      </c>
      <c r="G32" s="73">
        <v>104.64103556830399</v>
      </c>
      <c r="H32" s="62">
        <f>((F32^2*($I5-$I4)+H31^2*$I4)/($I5))^0.5</f>
        <v>2.7892648988356807</v>
      </c>
      <c r="I32" s="62">
        <f>((G32^2*($I5-$I4)+I31^2*$I4)/($I5))^0.5</f>
        <v>117.49795781975604</v>
      </c>
      <c r="J32" s="72">
        <f t="shared" ref="J32:J41" si="21">(1-$G$19)*premium($F$3-$G$22,$G5,$H5,T5-$G$22*EXP(($G5-$H5)/100*$I5),$H32,$I5,1)+$G$19*premium($F$3-$G$23,$G5,$H5,T5-$G$23*EXP(($G5-$H5)/100*$I5),$I32,$I5,1)</f>
        <v>0.35356017477221569</v>
      </c>
      <c r="K32" s="72">
        <f t="shared" si="16"/>
        <v>0.88558076042578038</v>
      </c>
      <c r="L32" s="72">
        <f t="shared" si="17"/>
        <v>2.2813740087463765</v>
      </c>
      <c r="M32" s="72">
        <f t="shared" si="18"/>
        <v>0.80371876575928303</v>
      </c>
      <c r="N32" s="72">
        <f t="shared" si="19"/>
        <v>0.25913371543053243</v>
      </c>
      <c r="O32" s="71">
        <f t="shared" ref="O32:O41" si="22">implied_Vol($F$3,$G5,$H5,T5,J32,$I5,1)</f>
        <v>14.575308240801386</v>
      </c>
      <c r="P32" s="71">
        <f t="shared" ref="P32:P41" si="23">implied_Vol($F$3,$G5,$H5,U5,K32,$I5,1)</f>
        <v>13.70725493598967</v>
      </c>
      <c r="Q32" s="71">
        <f t="shared" ref="Q32:Q41" si="24">implied_Vol($F$3,$G5,$H5,V5,L32,$I5,1)</f>
        <v>13.577367610056104</v>
      </c>
      <c r="R32" s="71">
        <f t="shared" ref="R32:S32" si="25">implied_Vol($F$3,$G5,$H5,W5,M32,$I5,-1)</f>
        <v>14.029177882378345</v>
      </c>
      <c r="S32" s="71">
        <f t="shared" si="25"/>
        <v>15.812496095435771</v>
      </c>
      <c r="T32" s="70">
        <f t="shared" ref="T32:T41" si="26">(J32-J5)^2+(K32-K5)^2+(L32-L5)^2+(M32-M5)^2+(N32-N5)^2</f>
        <v>2.5148797825777749E-2</v>
      </c>
      <c r="U32" s="70">
        <f t="shared" ref="U32:U41" si="27">ABS(J32-J5)+ABS(K32-K5)+ABS(L32-L5)+ABS(M32-M5)+ABS(N32-N5)</f>
        <v>0.3170081997282681</v>
      </c>
      <c r="V32" s="70">
        <f t="shared" ref="V32:V41" si="28">(O32-O5)^2+(P32-P5)^2+(Q32-Q5)^2+(R32-R5)^2+(S32-S5)^2</f>
        <v>3.0361553418928526</v>
      </c>
      <c r="W32" s="70">
        <f t="shared" ref="W32:W40" si="29">ABS(O32-O5)+ABS(P32-P5)+ABS(Q32-Q5)+ABS(R32-R5)+ABS(S32-S5)</f>
        <v>3.358256809033044</v>
      </c>
      <c r="X32" s="70">
        <f t="shared" ref="X32:X41" si="30">((J32-J5)/MAX(J32,J5))^2+((K32-K5)/MAX(K32,K5))^2+((L32-L5)/MAX(L32,L5))^2+((M32-M5)/MAX(M32,M5))^2+((N32-N5)/MAX(N32,N5))^2</f>
        <v>0.12184512375894369</v>
      </c>
    </row>
    <row r="33" spans="6:24" x14ac:dyDescent="0.4">
      <c r="F33" s="73">
        <v>2.7149661637354146</v>
      </c>
      <c r="G33" s="73">
        <v>118.63039569480939</v>
      </c>
      <c r="H33" s="62">
        <f t="shared" ref="H33:I41" si="31">((F33^2*($I6-$I5)+H32^2*$I5)/($I6))^0.5</f>
        <v>2.7529957707519896</v>
      </c>
      <c r="I33" s="62">
        <f t="shared" si="31"/>
        <v>118.05593729122717</v>
      </c>
      <c r="J33" s="72">
        <f t="shared" si="21"/>
        <v>0.46197596938098529</v>
      </c>
      <c r="K33" s="72">
        <f t="shared" si="16"/>
        <v>1.2195338228574957</v>
      </c>
      <c r="L33" s="72">
        <f t="shared" si="17"/>
        <v>3.1800403125378049</v>
      </c>
      <c r="M33" s="72">
        <f t="shared" si="18"/>
        <v>1.1266726332046375</v>
      </c>
      <c r="N33" s="72">
        <f t="shared" si="19"/>
        <v>0.37574967079469718</v>
      </c>
      <c r="O33" s="71">
        <f t="shared" si="22"/>
        <v>14.446557803726128</v>
      </c>
      <c r="P33" s="71">
        <f t="shared" si="23"/>
        <v>13.504498720078278</v>
      </c>
      <c r="Q33" s="71">
        <f t="shared" si="24"/>
        <v>13.420633950188291</v>
      </c>
      <c r="R33" s="71">
        <f t="shared" ref="R33:S33" si="32">implied_Vol($F$3,$G6,$H6,W6,M33,$I6,-1)</f>
        <v>13.911051462062114</v>
      </c>
      <c r="S33" s="71">
        <f t="shared" si="32"/>
        <v>15.627540254458731</v>
      </c>
      <c r="T33" s="70">
        <f t="shared" si="26"/>
        <v>2.7439121678810421E-2</v>
      </c>
      <c r="U33" s="70">
        <f t="shared" si="27"/>
        <v>0.34016905973756406</v>
      </c>
      <c r="V33" s="70">
        <f t="shared" si="28"/>
        <v>1.585529819127554</v>
      </c>
      <c r="W33" s="70">
        <f t="shared" si="29"/>
        <v>2.5030987574718075</v>
      </c>
      <c r="X33" s="70">
        <f t="shared" si="30"/>
        <v>6.6606188540430961E-2</v>
      </c>
    </row>
    <row r="34" spans="6:24" x14ac:dyDescent="0.4">
      <c r="F34" s="73">
        <v>2.5761376044997215</v>
      </c>
      <c r="G34" s="73">
        <v>122.98506162309769</v>
      </c>
      <c r="H34" s="62">
        <f t="shared" si="31"/>
        <v>2.6921286886665698</v>
      </c>
      <c r="I34" s="62">
        <f t="shared" si="31"/>
        <v>119.81237473424983</v>
      </c>
      <c r="J34" s="72">
        <f t="shared" si="21"/>
        <v>0.54440283054440686</v>
      </c>
      <c r="K34" s="72">
        <f t="shared" si="16"/>
        <v>1.4730614927187806</v>
      </c>
      <c r="L34" s="72">
        <f t="shared" si="17"/>
        <v>3.8873736842027378</v>
      </c>
      <c r="M34" s="72">
        <f t="shared" si="18"/>
        <v>1.3913870936458483</v>
      </c>
      <c r="N34" s="72">
        <f t="shared" si="19"/>
        <v>0.47397508451899562</v>
      </c>
      <c r="O34" s="71">
        <f t="shared" si="22"/>
        <v>14.235119754932617</v>
      </c>
      <c r="P34" s="71">
        <f t="shared" si="23"/>
        <v>13.221204465621796</v>
      </c>
      <c r="Q34" s="71">
        <f t="shared" si="24"/>
        <v>13.165427240279035</v>
      </c>
      <c r="R34" s="71">
        <f t="shared" ref="R34:S34" si="33">implied_Vol($F$3,$G7,$H7,W7,M34,$I7,-1)</f>
        <v>13.681854698160183</v>
      </c>
      <c r="S34" s="71">
        <f t="shared" si="33"/>
        <v>15.394221699788453</v>
      </c>
      <c r="T34" s="70">
        <f t="shared" si="26"/>
        <v>2.1008228647547724E-2</v>
      </c>
      <c r="U34" s="70">
        <f t="shared" si="27"/>
        <v>0.30328030777801318</v>
      </c>
      <c r="V34" s="70">
        <f t="shared" si="28"/>
        <v>0.80225823663097162</v>
      </c>
      <c r="W34" s="70">
        <f t="shared" si="29"/>
        <v>1.7926750628847827</v>
      </c>
      <c r="X34" s="70">
        <f t="shared" si="30"/>
        <v>3.638557466148324E-2</v>
      </c>
    </row>
    <row r="35" spans="6:24" x14ac:dyDescent="0.4">
      <c r="F35" s="73">
        <v>2.3121635585329061</v>
      </c>
      <c r="G35" s="73">
        <v>126.43544773389277</v>
      </c>
      <c r="H35" s="62">
        <f t="shared" si="31"/>
        <v>2.5125211625679236</v>
      </c>
      <c r="I35" s="62">
        <f t="shared" si="31"/>
        <v>123.11294361999975</v>
      </c>
      <c r="J35" s="72">
        <f t="shared" si="21"/>
        <v>0.67630364857818415</v>
      </c>
      <c r="K35" s="72">
        <f t="shared" si="16"/>
        <v>1.9080656213676441</v>
      </c>
      <c r="L35" s="72">
        <f t="shared" si="17"/>
        <v>5.1332623077772617</v>
      </c>
      <c r="M35" s="72">
        <f t="shared" si="18"/>
        <v>1.8851080757235701</v>
      </c>
      <c r="N35" s="72">
        <f t="shared" si="19"/>
        <v>0.68688613625770278</v>
      </c>
      <c r="O35" s="71">
        <f t="shared" si="22"/>
        <v>13.611378119879175</v>
      </c>
      <c r="P35" s="71">
        <f t="shared" si="23"/>
        <v>12.405823673080016</v>
      </c>
      <c r="Q35" s="71">
        <f t="shared" si="24"/>
        <v>12.389682809485072</v>
      </c>
      <c r="R35" s="71">
        <f t="shared" ref="R35:S35" si="34">implied_Vol($F$3,$G8,$H8,W8,M35,$I8,-1)</f>
        <v>12.93203297647081</v>
      </c>
      <c r="S35" s="71">
        <f t="shared" si="34"/>
        <v>14.546633166000309</v>
      </c>
      <c r="T35" s="70">
        <f t="shared" si="26"/>
        <v>5.0874981969998316E-3</v>
      </c>
      <c r="U35" s="70">
        <f t="shared" si="27"/>
        <v>0.13915472756655045</v>
      </c>
      <c r="V35" s="70">
        <f t="shared" si="28"/>
        <v>5.1698712436335614E-2</v>
      </c>
      <c r="W35" s="70">
        <f t="shared" si="29"/>
        <v>0.46383744581371467</v>
      </c>
      <c r="X35" s="70">
        <f t="shared" si="30"/>
        <v>1.6519739230760591E-3</v>
      </c>
    </row>
    <row r="36" spans="6:24" x14ac:dyDescent="0.4">
      <c r="F36" s="73">
        <v>2.1628496694193577</v>
      </c>
      <c r="G36" s="73">
        <v>150.75946799066332</v>
      </c>
      <c r="H36" s="62">
        <f t="shared" si="31"/>
        <v>2.3978843400289795</v>
      </c>
      <c r="I36" s="62">
        <f t="shared" si="31"/>
        <v>133.2811874928363</v>
      </c>
      <c r="J36" s="72">
        <f t="shared" si="21"/>
        <v>0.79720664038398192</v>
      </c>
      <c r="K36" s="72">
        <f t="shared" si="16"/>
        <v>2.2520354536061986</v>
      </c>
      <c r="L36" s="72">
        <f t="shared" si="17"/>
        <v>6.1010846442582078</v>
      </c>
      <c r="M36" s="72">
        <f t="shared" si="18"/>
        <v>2.2906548409664995</v>
      </c>
      <c r="N36" s="72">
        <f t="shared" si="19"/>
        <v>0.87282850749236318</v>
      </c>
      <c r="O36" s="71">
        <f t="shared" si="22"/>
        <v>13.407620395273465</v>
      </c>
      <c r="P36" s="71">
        <f t="shared" si="23"/>
        <v>11.959162543716687</v>
      </c>
      <c r="Q36" s="71">
        <f t="shared" si="24"/>
        <v>11.957857371928363</v>
      </c>
      <c r="R36" s="71">
        <f t="shared" ref="R36:S36" si="35">implied_Vol($F$3,$G9,$H9,W9,M36,$I9,-1)</f>
        <v>12.53040616103487</v>
      </c>
      <c r="S36" s="71">
        <f t="shared" si="35"/>
        <v>14.19204015234572</v>
      </c>
      <c r="T36" s="70">
        <f t="shared" si="26"/>
        <v>2.2638015382318698E-2</v>
      </c>
      <c r="U36" s="70">
        <f t="shared" si="27"/>
        <v>0.2828749323647376</v>
      </c>
      <c r="V36" s="70">
        <f t="shared" si="28"/>
        <v>0.20961905013149087</v>
      </c>
      <c r="W36" s="70">
        <f t="shared" si="29"/>
        <v>0.86852074631886822</v>
      </c>
      <c r="X36" s="70">
        <f t="shared" si="30"/>
        <v>8.8070371206239E-3</v>
      </c>
    </row>
    <row r="37" spans="6:24" x14ac:dyDescent="0.4">
      <c r="F37" s="73">
        <v>2.0540712742641634</v>
      </c>
      <c r="G37" s="73">
        <v>165.7413464484417</v>
      </c>
      <c r="H37" s="62">
        <f t="shared" si="31"/>
        <v>2.3160405931949626</v>
      </c>
      <c r="I37" s="62">
        <f t="shared" si="31"/>
        <v>142.16328350288649</v>
      </c>
      <c r="J37" s="72">
        <f t="shared" si="21"/>
        <v>0.89655957126637553</v>
      </c>
      <c r="K37" s="72">
        <f t="shared" si="16"/>
        <v>2.5163145636597442</v>
      </c>
      <c r="L37" s="72">
        <f t="shared" si="17"/>
        <v>6.8394762478135211</v>
      </c>
      <c r="M37" s="72">
        <f t="shared" si="18"/>
        <v>2.6166597549455846</v>
      </c>
      <c r="N37" s="72">
        <f t="shared" si="19"/>
        <v>1.0358788737150459</v>
      </c>
      <c r="O37" s="71">
        <f t="shared" si="22"/>
        <v>13.279042615944237</v>
      </c>
      <c r="P37" s="71">
        <f t="shared" si="23"/>
        <v>11.638629688647656</v>
      </c>
      <c r="Q37" s="71">
        <f t="shared" si="24"/>
        <v>11.649794156580771</v>
      </c>
      <c r="R37" s="71">
        <f t="shared" ref="R37:S37" si="36">implied_Vol($F$3,$G10,$H10,W10,M37,$I10,-1)</f>
        <v>12.237119652970959</v>
      </c>
      <c r="S37" s="71">
        <f t="shared" si="36"/>
        <v>13.895288177449363</v>
      </c>
      <c r="T37" s="70">
        <f t="shared" si="26"/>
        <v>8.0703979788193117E-2</v>
      </c>
      <c r="U37" s="70">
        <f t="shared" si="27"/>
        <v>0.55445880001330305</v>
      </c>
      <c r="V37" s="70">
        <f t="shared" si="28"/>
        <v>0.63572904978716105</v>
      </c>
      <c r="W37" s="70">
        <f t="shared" si="29"/>
        <v>1.5445296824093546</v>
      </c>
      <c r="X37" s="70">
        <f t="shared" si="30"/>
        <v>2.830214848624113E-2</v>
      </c>
    </row>
    <row r="38" spans="6:24" x14ac:dyDescent="0.4">
      <c r="F38" s="73">
        <v>2.0221956448608234</v>
      </c>
      <c r="G38" s="73">
        <v>168.79745584181646</v>
      </c>
      <c r="H38" s="62">
        <f t="shared" si="31"/>
        <v>2.1738876909409428</v>
      </c>
      <c r="I38" s="62">
        <f t="shared" si="31"/>
        <v>156.06779009331547</v>
      </c>
      <c r="J38" s="72">
        <f t="shared" si="21"/>
        <v>1.1150883676513046</v>
      </c>
      <c r="K38" s="72">
        <f t="shared" si="16"/>
        <v>3.0087424734754427</v>
      </c>
      <c r="L38" s="72">
        <f t="shared" si="17"/>
        <v>8.1571841775913274</v>
      </c>
      <c r="M38" s="72">
        <f t="shared" si="18"/>
        <v>3.2130650659885522</v>
      </c>
      <c r="N38" s="72">
        <f t="shared" si="19"/>
        <v>1.3388818151988122</v>
      </c>
      <c r="O38" s="71">
        <f t="shared" si="22"/>
        <v>12.874413386687619</v>
      </c>
      <c r="P38" s="71">
        <f t="shared" si="23"/>
        <v>10.949532156172721</v>
      </c>
      <c r="Q38" s="71">
        <f t="shared" si="24"/>
        <v>10.976198135795162</v>
      </c>
      <c r="R38" s="71">
        <f t="shared" ref="R38:S38" si="37">implied_Vol($F$3,$G11,$H11,W11,M38,$I11,-1)</f>
        <v>11.73011820950158</v>
      </c>
      <c r="S38" s="71">
        <f t="shared" si="37"/>
        <v>13.45129807568966</v>
      </c>
      <c r="T38" s="70">
        <f t="shared" si="26"/>
        <v>0.22803894137118702</v>
      </c>
      <c r="U38" s="70">
        <f t="shared" si="27"/>
        <v>0.90639390306807832</v>
      </c>
      <c r="V38" s="70">
        <f t="shared" si="28"/>
        <v>1.0917491893375322</v>
      </c>
      <c r="W38" s="70">
        <f t="shared" si="29"/>
        <v>1.9536688781263614</v>
      </c>
      <c r="X38" s="70">
        <f t="shared" si="30"/>
        <v>5.3210739426715732E-2</v>
      </c>
    </row>
    <row r="39" spans="6:24" x14ac:dyDescent="0.4">
      <c r="F39" s="73">
        <v>1.868890603493893</v>
      </c>
      <c r="G39" s="73">
        <v>500</v>
      </c>
      <c r="H39" s="62">
        <f t="shared" si="31"/>
        <v>1.99672550410261</v>
      </c>
      <c r="I39" s="62">
        <f t="shared" si="31"/>
        <v>399.46172690480779</v>
      </c>
      <c r="J39" s="72">
        <f t="shared" si="21"/>
        <v>1.3514332256393564</v>
      </c>
      <c r="K39" s="72">
        <f t="shared" si="16"/>
        <v>3.7795457251207227</v>
      </c>
      <c r="L39" s="72">
        <f t="shared" si="17"/>
        <v>10.600505740398621</v>
      </c>
      <c r="M39" s="72">
        <f t="shared" si="18"/>
        <v>4.2752980323284913</v>
      </c>
      <c r="N39" s="72">
        <f t="shared" si="19"/>
        <v>1.6607460488789993</v>
      </c>
      <c r="O39" s="71">
        <f t="shared" si="22"/>
        <v>11.738561985297702</v>
      </c>
      <c r="P39" s="71">
        <f t="shared" si="23"/>
        <v>9.8272598639467876</v>
      </c>
      <c r="Q39" s="71">
        <f t="shared" si="24"/>
        <v>10.02403079073939</v>
      </c>
      <c r="R39" s="71">
        <f t="shared" ref="R39:S39" si="38">implied_Vol($F$3,$G12,$H12,W12,M39,$I12,-1)</f>
        <v>10.847879574273522</v>
      </c>
      <c r="S39" s="71">
        <f t="shared" si="38"/>
        <v>12.680758337361732</v>
      </c>
      <c r="T39" s="70">
        <f t="shared" si="26"/>
        <v>0.92776969161028033</v>
      </c>
      <c r="U39" s="70">
        <f t="shared" si="27"/>
        <v>1.8294103370231545</v>
      </c>
      <c r="V39" s="70">
        <f t="shared" si="28"/>
        <v>1.560719960753383</v>
      </c>
      <c r="W39" s="70">
        <f t="shared" si="29"/>
        <v>2.5443468531307225</v>
      </c>
      <c r="X39" s="70">
        <f t="shared" si="30"/>
        <v>7.805270030856562E-2</v>
      </c>
    </row>
    <row r="40" spans="6:24" x14ac:dyDescent="0.4">
      <c r="F40" s="73">
        <v>2.1123177895312257</v>
      </c>
      <c r="G40" s="73">
        <v>500</v>
      </c>
      <c r="H40" s="62">
        <f t="shared" si="31"/>
        <v>2.030534567350756</v>
      </c>
      <c r="I40" s="62">
        <f t="shared" si="31"/>
        <v>430.688746538364</v>
      </c>
      <c r="J40" s="72">
        <f t="shared" si="21"/>
        <v>1.3707231726010733</v>
      </c>
      <c r="K40" s="72">
        <f t="shared" si="16"/>
        <v>4.3655957517281756</v>
      </c>
      <c r="L40" s="72">
        <f t="shared" si="17"/>
        <v>11.75428534934683</v>
      </c>
      <c r="M40" s="72">
        <f t="shared" si="18"/>
        <v>4.5634882293814254</v>
      </c>
      <c r="N40" s="72">
        <f t="shared" si="19"/>
        <v>1.5159708984519285</v>
      </c>
      <c r="O40" s="71">
        <f t="shared" si="22"/>
        <v>10.898600981983384</v>
      </c>
      <c r="P40" s="71">
        <f t="shared" si="23"/>
        <v>9.6380474422321036</v>
      </c>
      <c r="Q40" s="71">
        <f t="shared" si="24"/>
        <v>10.00561227629173</v>
      </c>
      <c r="R40" s="71">
        <f t="shared" ref="R40:S40" si="39">implied_Vol($F$3,$G13,$H13,W13,M40,$I13,-1)</f>
        <v>10.936546795747415</v>
      </c>
      <c r="S40" s="71">
        <f t="shared" si="39"/>
        <v>13.09595904139073</v>
      </c>
      <c r="T40" s="70">
        <f t="shared" si="26"/>
        <v>0.52445267675628671</v>
      </c>
      <c r="U40" s="70">
        <f t="shared" si="27"/>
        <v>1.5731545787654491</v>
      </c>
      <c r="V40" s="70">
        <f t="shared" si="28"/>
        <v>1.1319681503399579</v>
      </c>
      <c r="W40" s="70">
        <f t="shared" si="29"/>
        <v>2.2095516064334717</v>
      </c>
      <c r="X40" s="70">
        <f t="shared" si="30"/>
        <v>7.3345682135829343E-2</v>
      </c>
    </row>
    <row r="41" spans="6:24" x14ac:dyDescent="0.4">
      <c r="F41" s="73">
        <v>2.1717855922948011</v>
      </c>
      <c r="G41" s="73">
        <v>31.528735313621109</v>
      </c>
      <c r="H41" s="62">
        <f t="shared" si="31"/>
        <v>2.0738693023529606</v>
      </c>
      <c r="I41" s="62">
        <f>((G41^2*($I14-$I13)+I40^2*$I13)/($I14))^0.5</f>
        <v>360.84466145625157</v>
      </c>
      <c r="J41" s="72">
        <f t="shared" si="21"/>
        <v>1.5046884149862056</v>
      </c>
      <c r="K41" s="72">
        <f t="shared" si="16"/>
        <v>5.1409892647088338</v>
      </c>
      <c r="L41" s="72">
        <f t="shared" si="17"/>
        <v>12.835220888730069</v>
      </c>
      <c r="M41" s="72">
        <f t="shared" si="18"/>
        <v>4.6548623803489448</v>
      </c>
      <c r="N41" s="72">
        <f t="shared" si="19"/>
        <v>1.348022690377491</v>
      </c>
      <c r="O41" s="71">
        <f t="shared" si="22"/>
        <v>10.036806857820114</v>
      </c>
      <c r="P41" s="71">
        <f t="shared" si="23"/>
        <v>9.5251913511624764</v>
      </c>
      <c r="Q41" s="71">
        <f t="shared" si="24"/>
        <v>10.054104335631148</v>
      </c>
      <c r="R41" s="71">
        <f t="shared" ref="R41:S41" si="40">implied_Vol($F$3,$G14,$H14,W14,M41,$I14,-1)</f>
        <v>11.195775142040342</v>
      </c>
      <c r="S41" s="71">
        <f t="shared" si="40"/>
        <v>13.79125350084615</v>
      </c>
      <c r="T41" s="70">
        <f t="shared" si="26"/>
        <v>1.1456369755062903</v>
      </c>
      <c r="U41" s="70">
        <f t="shared" si="27"/>
        <v>2.028290558675494</v>
      </c>
      <c r="V41" s="70">
        <f t="shared" si="28"/>
        <v>4.7045609440121359</v>
      </c>
      <c r="W41" s="70">
        <f>ABS(O41-O14)+ABS(P41-P14)+ABS(Q41-Q14)+ABS(R41-R14)+ABS(S41-S14)</f>
        <v>3.2554601860871824</v>
      </c>
      <c r="X41" s="70">
        <f t="shared" si="30"/>
        <v>0.17380487554855015</v>
      </c>
    </row>
    <row r="42" spans="6:24" x14ac:dyDescent="0.4">
      <c r="T42" s="69">
        <f>SUM(T31:T41)</f>
        <v>3.0211620587702268</v>
      </c>
      <c r="U42" s="69">
        <f t="shared" ref="U42" si="41">SUM(U31:U41)</f>
        <v>8.5088908203171574</v>
      </c>
      <c r="V42" s="69">
        <f>SUM(V31:V41)</f>
        <v>21.061590422523196</v>
      </c>
      <c r="W42" s="69">
        <f>SUM(W31:W41)</f>
        <v>25.456673485421383</v>
      </c>
      <c r="X42" s="69">
        <f>SUM(X31:X41)</f>
        <v>0.83270601103630382</v>
      </c>
    </row>
    <row r="44" spans="6:24" x14ac:dyDescent="0.4">
      <c r="O44" s="68"/>
      <c r="P44" s="68"/>
      <c r="Q44" s="68"/>
      <c r="R44" s="68"/>
      <c r="S44" s="68"/>
    </row>
    <row r="45" spans="6:24" x14ac:dyDescent="0.4">
      <c r="O45" s="68"/>
      <c r="P45" s="68"/>
      <c r="Q45" s="68"/>
      <c r="R45" s="68"/>
      <c r="S45" s="68"/>
    </row>
    <row r="46" spans="6:24" x14ac:dyDescent="0.4">
      <c r="O46" s="68"/>
      <c r="P46" s="68"/>
      <c r="Q46" s="68"/>
      <c r="R46" s="68"/>
      <c r="S46" s="68"/>
    </row>
    <row r="47" spans="6:24" x14ac:dyDescent="0.4">
      <c r="O47" s="68"/>
      <c r="P47" s="68"/>
      <c r="Q47" s="68"/>
      <c r="R47" s="68"/>
      <c r="S47" s="68"/>
    </row>
    <row r="48" spans="6:24" x14ac:dyDescent="0.4">
      <c r="O48" s="68"/>
      <c r="P48" s="68"/>
      <c r="Q48" s="68"/>
      <c r="R48" s="68"/>
      <c r="S48" s="68"/>
    </row>
    <row r="49" spans="15:19" x14ac:dyDescent="0.4">
      <c r="O49" s="68"/>
      <c r="P49" s="68"/>
      <c r="Q49" s="68"/>
      <c r="R49" s="68"/>
      <c r="S49" s="68"/>
    </row>
    <row r="50" spans="15:19" x14ac:dyDescent="0.4">
      <c r="O50" s="68"/>
      <c r="P50" s="68"/>
      <c r="Q50" s="68"/>
      <c r="R50" s="68"/>
      <c r="S50" s="68"/>
    </row>
    <row r="51" spans="15:19" x14ac:dyDescent="0.4">
      <c r="O51" s="68"/>
      <c r="P51" s="68"/>
      <c r="Q51" s="68"/>
      <c r="R51" s="68"/>
      <c r="S51" s="68"/>
    </row>
    <row r="52" spans="15:19" x14ac:dyDescent="0.4">
      <c r="O52" s="68"/>
      <c r="P52" s="68"/>
      <c r="Q52" s="68"/>
      <c r="R52" s="68"/>
      <c r="S52" s="68"/>
    </row>
    <row r="53" spans="15:19" x14ac:dyDescent="0.4">
      <c r="O53" s="68"/>
      <c r="P53" s="68"/>
      <c r="Q53" s="68"/>
      <c r="R53" s="68"/>
      <c r="S53" s="68"/>
    </row>
    <row r="54" spans="15:19" x14ac:dyDescent="0.4">
      <c r="O54" s="68"/>
      <c r="P54" s="68"/>
      <c r="Q54" s="68"/>
      <c r="R54" s="68"/>
      <c r="S54" s="68"/>
    </row>
    <row r="55" spans="15:19" x14ac:dyDescent="0.4">
      <c r="O55" s="68"/>
      <c r="P55" s="68"/>
      <c r="Q55" s="68"/>
      <c r="R55" s="68"/>
      <c r="S55" s="68"/>
    </row>
    <row r="56" spans="15:19" x14ac:dyDescent="0.4">
      <c r="O56" s="68"/>
      <c r="P56" s="68"/>
      <c r="Q56" s="68"/>
      <c r="R56" s="68"/>
      <c r="S56" s="68"/>
    </row>
    <row r="57" spans="15:19" x14ac:dyDescent="0.4">
      <c r="O57" s="68"/>
      <c r="P57" s="68"/>
      <c r="Q57" s="68"/>
      <c r="R57" s="68"/>
      <c r="S57" s="68"/>
    </row>
    <row r="58" spans="15:19" x14ac:dyDescent="0.4">
      <c r="O58" s="68"/>
      <c r="P58" s="68"/>
      <c r="Q58" s="68"/>
      <c r="R58" s="68"/>
      <c r="S58" s="68"/>
    </row>
    <row r="59" spans="15:19" x14ac:dyDescent="0.4">
      <c r="O59" s="68"/>
      <c r="P59" s="68"/>
      <c r="Q59" s="68"/>
      <c r="R59" s="68"/>
      <c r="S59" s="68"/>
    </row>
    <row r="60" spans="15:19" x14ac:dyDescent="0.4">
      <c r="O60" s="68"/>
      <c r="P60" s="68"/>
      <c r="Q60" s="68"/>
      <c r="R60" s="68"/>
      <c r="S60" s="68"/>
    </row>
    <row r="61" spans="15:19" x14ac:dyDescent="0.4">
      <c r="O61" s="68"/>
      <c r="P61" s="68"/>
      <c r="Q61" s="68"/>
      <c r="R61" s="68"/>
      <c r="S61" s="68"/>
    </row>
    <row r="62" spans="15:19" x14ac:dyDescent="0.4">
      <c r="O62" s="68"/>
      <c r="P62" s="68"/>
      <c r="Q62" s="68"/>
      <c r="R62" s="68"/>
      <c r="S62" s="68"/>
    </row>
    <row r="63" spans="15:19" x14ac:dyDescent="0.4">
      <c r="O63" s="68"/>
      <c r="P63" s="68"/>
      <c r="Q63" s="68"/>
      <c r="R63" s="68"/>
      <c r="S63" s="68"/>
    </row>
    <row r="64" spans="15:19" x14ac:dyDescent="0.4">
      <c r="O64" s="68"/>
      <c r="P64" s="68"/>
      <c r="Q64" s="68"/>
      <c r="R64" s="68"/>
      <c r="S64" s="68"/>
    </row>
    <row r="65" spans="15:19" x14ac:dyDescent="0.4">
      <c r="O65" s="68"/>
      <c r="P65" s="68"/>
      <c r="Q65" s="68"/>
      <c r="R65" s="68"/>
      <c r="S65" s="68"/>
    </row>
    <row r="66" spans="15:19" x14ac:dyDescent="0.4">
      <c r="O66" s="68"/>
      <c r="P66" s="68"/>
      <c r="Q66" s="68"/>
      <c r="R66" s="68"/>
      <c r="S66" s="68"/>
    </row>
  </sheetData>
  <mergeCells count="10">
    <mergeCell ref="T2:X2"/>
    <mergeCell ref="F16:I16"/>
    <mergeCell ref="J16:N16"/>
    <mergeCell ref="O16:S16"/>
    <mergeCell ref="F30:I30"/>
    <mergeCell ref="J30:N30"/>
    <mergeCell ref="O30:S30"/>
    <mergeCell ref="G2:I2"/>
    <mergeCell ref="J2:N2"/>
    <mergeCell ref="O2:S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ibrate_new">
                <anchor moveWithCells="1" sizeWithCells="1">
                  <from>
                    <xdr:col>7</xdr:col>
                    <xdr:colOff>323850</xdr:colOff>
                    <xdr:row>16</xdr:row>
                    <xdr:rowOff>152400</xdr:rowOff>
                  </from>
                  <to>
                    <xdr:col>8</xdr:col>
                    <xdr:colOff>419100</xdr:colOff>
                    <xdr:row>25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Process</vt:lpstr>
      <vt:lpstr>Outcome</vt:lpstr>
      <vt:lpstr>LMUV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吳冠宏(Harvey Wu)</dc:creator>
  <cp:lastModifiedBy>USER</cp:lastModifiedBy>
  <dcterms:created xsi:type="dcterms:W3CDTF">2022-07-29T07:46:42Z</dcterms:created>
  <dcterms:modified xsi:type="dcterms:W3CDTF">2024-04-06T15:30:59Z</dcterms:modified>
</cp:coreProperties>
</file>